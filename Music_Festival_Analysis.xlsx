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hub portfolio\excel\"/>
    </mc:Choice>
  </mc:AlternateContent>
  <xr:revisionPtr revIDLastSave="0" documentId="13_ncr:1_{12E8EDED-A92D-4F0A-A192-6D0EB1EFD65E}" xr6:coauthVersionLast="47" xr6:coauthVersionMax="47" xr10:uidLastSave="{00000000-0000-0000-0000-000000000000}"/>
  <bookViews>
    <workbookView xWindow="4965" yWindow="4185" windowWidth="21600" windowHeight="11295" tabRatio="500" firstSheet="4" activeTab="5" xr2:uid="{00000000-000D-0000-FFFF-FFFF00000000}"/>
  </bookViews>
  <sheets>
    <sheet name="📊 Dashboard" sheetId="1" r:id="rId1"/>
    <sheet name="🎤 Artist Analysis" sheetId="2" r:id="rId2"/>
    <sheet name="🎪 Festival Analysis" sheetId="3" r:id="rId3"/>
    <sheet name="📍 City &amp; Monthly Trends" sheetId="4" r:id="rId4"/>
    <sheet name="🔍 Key Insights" sheetId="5" r:id="rId5"/>
    <sheet name="📄 Artist Data" sheetId="7" r:id="rId6"/>
    <sheet name="📄 Festival Data" sheetId="8" r:id="rId7"/>
    <sheet name="Sheet1" sheetId="9" r:id="rId8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<sst xmlns="http://schemas.openxmlformats.org/spreadsheetml/2006/main" count="838" uniqueCount="245">
  <si>
    <t>🎵  INDIA MUSIC FESTIVAL &amp; ARTIST POPULARITY ANALYSIS  —  2024</t>
  </si>
  <si>
    <t>10 Artists  │  10 Festivals  │  105 Festival Events  │  10 Cities  │  Data: Artist Popularity + Festival Revenue</t>
  </si>
  <si>
    <t>🎤 Artists</t>
  </si>
  <si>
    <t>🎪 Festival Events</t>
  </si>
  <si>
    <t>💰 Total Revenue</t>
  </si>
  <si>
    <t>👥 Total Attendance</t>
  </si>
  <si>
    <t>🏆 Top Festival</t>
  </si>
  <si>
    <t>⭐ Top Artist</t>
  </si>
  <si>
    <t>10</t>
  </si>
  <si>
    <t>105</t>
  </si>
  <si>
    <t>₹7.14 Cr</t>
  </si>
  <si>
    <t>19.76 Lakh</t>
  </si>
  <si>
    <t>Ziro Arunachal</t>
  </si>
  <si>
    <t>Honey Singh</t>
  </si>
  <si>
    <t xml:space="preserve">  📊 Revenue by Festival (₹)</t>
  </si>
  <si>
    <t xml:space="preserve">  🎤 Artist at a Glance</t>
  </si>
  <si>
    <t>Festival</t>
  </si>
  <si>
    <t>Events</t>
  </si>
  <si>
    <t>Total Revenue (₹)</t>
  </si>
  <si>
    <t>Avg Revenue (₹)</t>
  </si>
  <si>
    <t>Total Attendance</t>
  </si>
  <si>
    <t>Avg Attendance</t>
  </si>
  <si>
    <t>Artist</t>
  </si>
  <si>
    <t>Genre</t>
  </si>
  <si>
    <t>Streams (M)</t>
  </si>
  <si>
    <t>Followers (M)</t>
  </si>
  <si>
    <t>Tour?</t>
  </si>
  <si>
    <t>Ziro Festival Arunachal</t>
  </si>
  <si>
    <t>Ed Sheeran</t>
  </si>
  <si>
    <t>International Pop</t>
  </si>
  <si>
    <t>Yes</t>
  </si>
  <si>
    <t>Hornbill Festival Nagaland</t>
  </si>
  <si>
    <t>Arijit Singh</t>
  </si>
  <si>
    <t>Bollywood</t>
  </si>
  <si>
    <t>NH7 Pune</t>
  </si>
  <si>
    <t>Badshah</t>
  </si>
  <si>
    <t>No</t>
  </si>
  <si>
    <t>Sunburn Goa</t>
  </si>
  <si>
    <t>Hip-Hop</t>
  </si>
  <si>
    <t>Bollywood Music Project</t>
  </si>
  <si>
    <t>DJ Snake</t>
  </si>
  <si>
    <t>EDM</t>
  </si>
  <si>
    <t>Lollapalooza Mumbai</t>
  </si>
  <si>
    <t>Mika Singh</t>
  </si>
  <si>
    <t>VH1 Supersonic Delhi</t>
  </si>
  <si>
    <t>Martin Garrix</t>
  </si>
  <si>
    <t>Supersonic Bengaluru</t>
  </si>
  <si>
    <t>Shreya Ghoshal</t>
  </si>
  <si>
    <t>Classical/Bollywood</t>
  </si>
  <si>
    <t>Goa Tribal Festival</t>
  </si>
  <si>
    <t>Diljit Dosanjh</t>
  </si>
  <si>
    <t>Punjabi</t>
  </si>
  <si>
    <t>Magnetic Fields Rajasthan</t>
  </si>
  <si>
    <t>Bryan Adams</t>
  </si>
  <si>
    <t>Rock</t>
  </si>
  <si>
    <t>🎤  ARTIST POPULARITY &amp; PERFORMANCE ANALYSIS</t>
  </si>
  <si>
    <t xml:space="preserve">  📋 Complete Artist Comparison Table</t>
  </si>
  <si>
    <t>Avg Ticket (₹)</t>
  </si>
  <si>
    <t>Merch Revenue (₹)</t>
  </si>
  <si>
    <t>Cities Count</t>
  </si>
  <si>
    <t>Tour Impact</t>
  </si>
  <si>
    <t>Revenue Rank</t>
  </si>
  <si>
    <t>Popularity Score</t>
  </si>
  <si>
    <t>N/A</t>
  </si>
  <si>
    <t xml:space="preserve">  🎵 Genre-Level Summary</t>
  </si>
  <si>
    <t>Artists</t>
  </si>
  <si>
    <t>Avg Streams (M)</t>
  </si>
  <si>
    <t>Avg Followers (M)</t>
  </si>
  <si>
    <t>Avg Merch (₹)</t>
  </si>
  <si>
    <t>🎪  MUSIC FESTIVAL PERFORMANCE ANALYSIS  —  105 Events</t>
  </si>
  <si>
    <t xml:space="preserve">  📊 Festival-wise Performance Summary</t>
  </si>
  <si>
    <t>Festival Name</t>
  </si>
  <si>
    <t>City</t>
  </si>
  <si>
    <t>Merch+Sponsorship (₹)</t>
  </si>
  <si>
    <t>Best Month</t>
  </si>
  <si>
    <t>Delhi</t>
  </si>
  <si>
    <t>December</t>
  </si>
  <si>
    <t>Nagpur</t>
  </si>
  <si>
    <t>July</t>
  </si>
  <si>
    <t>Kolkata</t>
  </si>
  <si>
    <t>September</t>
  </si>
  <si>
    <t>Goa</t>
  </si>
  <si>
    <t>November</t>
  </si>
  <si>
    <t>August</t>
  </si>
  <si>
    <t>Pune</t>
  </si>
  <si>
    <t>January</t>
  </si>
  <si>
    <t>Mumbai</t>
  </si>
  <si>
    <t xml:space="preserve">  🎤 Revenue Generated per Headlining Artist</t>
  </si>
  <si>
    <t>Headlining Artist</t>
  </si>
  <si>
    <t>Shows</t>
  </si>
  <si>
    <t>📍  CITY PERFORMANCE  &amp;  MONTHLY REVENUE TRENDS</t>
  </si>
  <si>
    <t xml:space="preserve">  🏙️ City-wise Revenue &amp; Attendance</t>
  </si>
  <si>
    <t>Jaipur</t>
  </si>
  <si>
    <t>Bengaluru</t>
  </si>
  <si>
    <t>Chandigarh</t>
  </si>
  <si>
    <t>Amritsar</t>
  </si>
  <si>
    <t xml:space="preserve">  📅 Monthly Revenue Trend (All Festivals Combined)</t>
  </si>
  <si>
    <t>Month</t>
  </si>
  <si>
    <t>Month #</t>
  </si>
  <si>
    <t>February</t>
  </si>
  <si>
    <t>March</t>
  </si>
  <si>
    <t>April</t>
  </si>
  <si>
    <t>May</t>
  </si>
  <si>
    <t>June</t>
  </si>
  <si>
    <t>October</t>
  </si>
  <si>
    <t>🔍  KEY INSIGHTS  —  What The Data Is Actually Telling You</t>
  </si>
  <si>
    <t xml:space="preserve">  📐 Correlation Matrix (Festival Data)</t>
  </si>
  <si>
    <t>💡 Correlation tells you how two numbers move together. +1 = always move together. -1 = opposite. 0 = no relationship.</t>
  </si>
  <si>
    <t>Ticket Price</t>
  </si>
  <si>
    <t>Attendance</t>
  </si>
  <si>
    <t>Merch Sales</t>
  </si>
  <si>
    <t>Sponsorship</t>
  </si>
  <si>
    <t>Total Revenue</t>
  </si>
  <si>
    <t xml:space="preserve">  🏆 Top 10 Key Findings from the Data</t>
  </si>
  <si>
    <t>🥇</t>
  </si>
  <si>
    <t>Honey Singh generates the highest total festival revenue (₹11.79 Cr across 15 shows)</t>
  </si>
  <si>
    <t>🥈</t>
  </si>
  <si>
    <t>Ziro Festival Arunachal leads all festivals in total revenue with ₹11.58 Cr (13 events)</t>
  </si>
  <si>
    <t>📈</t>
  </si>
  <si>
    <t>August is the peak month — ₹10.74 Cr revenue; October is the lowest at ₹91 lakhs</t>
  </si>
  <si>
    <t>🏙️</t>
  </si>
  <si>
    <t>Goa earns the most total festival revenue (₹11.35 Cr) across 17 events</t>
  </si>
  <si>
    <t>🎵</t>
  </si>
  <si>
    <t>International Pop (Ed Sheeran) has the most streaming plays (736M) but fewer live shows</t>
  </si>
  <si>
    <t>💡</t>
  </si>
  <si>
    <t>Ticket price &amp; total revenue have a strong positive correlation (0.52) — price drives revenue</t>
  </si>
  <si>
    <t>👥</t>
  </si>
  <si>
    <t>Attendance also drives revenue strongly (0.50) — fill the seats, earn more</t>
  </si>
  <si>
    <t>🔄</t>
  </si>
  <si>
    <t>Artists on tour (Yes) tend to attract higher attendance — Diljit &amp; Arijit both on tour</t>
  </si>
  <si>
    <t>🎸</t>
  </si>
  <si>
    <t>Badshah has the highest avg ticket price &amp; attendance combo — strong commercial draw</t>
  </si>
  <si>
    <t>📉</t>
  </si>
  <si>
    <t>Shreya Ghoshal has the lowest avg attendance (3,197) — niche/premium audience segment</t>
  </si>
  <si>
    <t>📄  RAW DATA — Artist Data</t>
  </si>
  <si>
    <t>Artist_Name</t>
  </si>
  <si>
    <t>Average_Ticket_Price</t>
  </si>
  <si>
    <t>Average_Attendance_Per_City</t>
  </si>
  <si>
    <t>Social_Media_Followers (millions)</t>
  </si>
  <si>
    <t>Streaming_Plays (millions)</t>
  </si>
  <si>
    <t>Merchandise_Revenue_Per_Concert (Rs)</t>
  </si>
  <si>
    <t>Tour_Impact</t>
  </si>
  <si>
    <t>Cities_Performed_In</t>
  </si>
  <si>
    <t>Amritsar, Kolkata, Delhi, Mumbai, Bengaluru</t>
  </si>
  <si>
    <t>Pune, Amritsar, Bengaluru</t>
  </si>
  <si>
    <t>Delhi, Amritsar, Bengaluru, Mumbai</t>
  </si>
  <si>
    <t>Nagpur, Jaipur, Chandigarh</t>
  </si>
  <si>
    <t>Pune, Amritsar, Goa, Chandigarh</t>
  </si>
  <si>
    <t>Delhi, Jaipur, Bengaluru, Mumbai</t>
  </si>
  <si>
    <t>Bengaluru, Jaipur, Mumbai, Chandigarh, Kolkata, Delhi</t>
  </si>
  <si>
    <t>Chandigarh, Delhi, Pune, Nagpur, Bengaluru, Kolkata</t>
  </si>
  <si>
    <t>Nagpur, Goa, Amritsar, Chandigarh, Mumbai</t>
  </si>
  <si>
    <t>Pune, Mumbai, Delhi, Bengaluru, Amritsar</t>
  </si>
  <si>
    <t>📄  RAW DATA — Festival Data</t>
  </si>
  <si>
    <t>Festival_Name</t>
  </si>
  <si>
    <t>Date</t>
  </si>
  <si>
    <t>Headlining_Artist</t>
  </si>
  <si>
    <t>Ticket_Price(Rs)</t>
  </si>
  <si>
    <t>Total_Attendance</t>
  </si>
  <si>
    <t>Merchandise_Sales (Rs)</t>
  </si>
  <si>
    <t>Sponsorship_Revenue (Rs)</t>
  </si>
  <si>
    <t>Total_Revenue (Rs)</t>
  </si>
  <si>
    <t>12-01-2024</t>
  </si>
  <si>
    <t>21-04-2024</t>
  </si>
  <si>
    <t>18-09-2024</t>
  </si>
  <si>
    <t>02-03-2024</t>
  </si>
  <si>
    <t>11-06-2024</t>
  </si>
  <si>
    <t>25-05-2024</t>
  </si>
  <si>
    <t>20-03-2024</t>
  </si>
  <si>
    <t>19-06-2024</t>
  </si>
  <si>
    <t>28-05-2024</t>
  </si>
  <si>
    <t>28-01-2024</t>
  </si>
  <si>
    <t>23-12-2024</t>
  </si>
  <si>
    <t>16-05-2024</t>
  </si>
  <si>
    <t>18-12-2024</t>
  </si>
  <si>
    <t>22-02-2024</t>
  </si>
  <si>
    <t>16-10-2024</t>
  </si>
  <si>
    <t>12-06-2024</t>
  </si>
  <si>
    <t>02-04-2024</t>
  </si>
  <si>
    <t>27-08-2024</t>
  </si>
  <si>
    <t>08-12-2024</t>
  </si>
  <si>
    <t>17-06-2024</t>
  </si>
  <si>
    <t>13-05-2024</t>
  </si>
  <si>
    <t>01-07-2024</t>
  </si>
  <si>
    <t>08-01-2024</t>
  </si>
  <si>
    <t>04-05-2024</t>
  </si>
  <si>
    <t>25-04-2024</t>
  </si>
  <si>
    <t>25-01-2024</t>
  </si>
  <si>
    <t>04-09-2024</t>
  </si>
  <si>
    <t>13-12-2024</t>
  </si>
  <si>
    <t>21-12-2024</t>
  </si>
  <si>
    <t>28-04-2024</t>
  </si>
  <si>
    <t>10-04-2024</t>
  </si>
  <si>
    <t>09-03-2024</t>
  </si>
  <si>
    <t>07-03-2024</t>
  </si>
  <si>
    <t>04-02-2024</t>
  </si>
  <si>
    <t>13-04-2024</t>
  </si>
  <si>
    <t>05-08-2024</t>
  </si>
  <si>
    <t>20-09-2024</t>
  </si>
  <si>
    <t>03-08-2024</t>
  </si>
  <si>
    <t>25-06-2024</t>
  </si>
  <si>
    <t>28-12-2024</t>
  </si>
  <si>
    <t>23-08-2024</t>
  </si>
  <si>
    <t>20-08-2024</t>
  </si>
  <si>
    <t>10-11-2024</t>
  </si>
  <si>
    <t>08-08-2024</t>
  </si>
  <si>
    <t>24-06-2024</t>
  </si>
  <si>
    <t>11-05-2024</t>
  </si>
  <si>
    <t>04-04-2024</t>
  </si>
  <si>
    <t>27-01-2024</t>
  </si>
  <si>
    <t>26-07-2024</t>
  </si>
  <si>
    <t>08-09-2024</t>
  </si>
  <si>
    <t>11-11-2024</t>
  </si>
  <si>
    <t>09-12-2024</t>
  </si>
  <si>
    <t>13-01-2024</t>
  </si>
  <si>
    <t>05-06-2024</t>
  </si>
  <si>
    <t>19-05-2024</t>
  </si>
  <si>
    <t>18-10-2024</t>
  </si>
  <si>
    <t>11-07-2024</t>
  </si>
  <si>
    <t>13-07-2024</t>
  </si>
  <si>
    <t>14-06-2024</t>
  </si>
  <si>
    <t>01-01-2024</t>
  </si>
  <si>
    <t>19-03-2024</t>
  </si>
  <si>
    <t>20-11-2024</t>
  </si>
  <si>
    <t>08-05-2024</t>
  </si>
  <si>
    <t>17-03-2024</t>
  </si>
  <si>
    <t>21-08-2024</t>
  </si>
  <si>
    <t>02-08-2024</t>
  </si>
  <si>
    <t>26-01-2024</t>
  </si>
  <si>
    <t>03-10-2024</t>
  </si>
  <si>
    <t>17-02-2024</t>
  </si>
  <si>
    <t>23-02-2024</t>
  </si>
  <si>
    <t>06-08-2024</t>
  </si>
  <si>
    <t>13-11-2024</t>
  </si>
  <si>
    <t>02-05-2024</t>
  </si>
  <si>
    <t>05-11-2024</t>
  </si>
  <si>
    <t>19-04-2024</t>
  </si>
  <si>
    <t>03-04-2024</t>
  </si>
  <si>
    <t>15-11-2024</t>
  </si>
  <si>
    <t>10-12-2024</t>
  </si>
  <si>
    <t>02-02-2024</t>
  </si>
  <si>
    <t>06-02-2024</t>
  </si>
  <si>
    <t>08-07-2024</t>
  </si>
  <si>
    <t>06-12-2024</t>
  </si>
  <si>
    <t>15-05-2024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</si>
</sst>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"/>
  </numFmts>
  <fonts count="35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sz val="10"/>
      <color rgb="FFCE93D8"/>
      <name val="Arial"/>
      <family val="2"/>
    </font>
    <font>
      <b/>
      <sz val="9"/>
      <color rgb="FFFFFFFF"/>
      <name val="Arial"/>
      <family val="2"/>
    </font>
    <font>
      <b/>
      <sz val="18"/>
      <color rgb="FF5B2D8E"/>
      <name val="Arial"/>
      <family val="2"/>
    </font>
    <font>
      <b/>
      <sz val="18"/>
      <color rgb="FFAD1457"/>
      <name val="Arial"/>
      <family val="2"/>
    </font>
    <font>
      <b/>
      <sz val="18"/>
      <color rgb="FF00695C"/>
      <name val="Arial"/>
      <family val="2"/>
    </font>
    <font>
      <b/>
      <sz val="18"/>
      <color rgb="FF1565C0"/>
      <name val="Arial"/>
      <family val="2"/>
    </font>
    <font>
      <b/>
      <sz val="18"/>
      <color rgb="FFE65100"/>
      <name val="Arial"/>
      <family val="2"/>
    </font>
    <font>
      <b/>
      <sz val="18"/>
      <color rgb="FFF57F17"/>
      <name val="Arial"/>
      <family val="2"/>
    </font>
    <font>
      <b/>
      <sz val="11"/>
      <color rgb="FFFFFFFF"/>
      <name val="Arial"/>
      <family val="2"/>
    </font>
    <font>
      <b/>
      <sz val="9"/>
      <color rgb="FF37474F"/>
      <name val="Arial"/>
      <family val="2"/>
    </font>
    <font>
      <sz val="9"/>
      <color rgb="FF37474F"/>
      <name val="Arial"/>
      <family val="2"/>
    </font>
    <font>
      <sz val="9"/>
      <color rgb="FF2E7D32"/>
      <name val="Arial"/>
      <family val="2"/>
    </font>
    <font>
      <sz val="9"/>
      <color rgb="FFB71C1C"/>
      <name val="Arial"/>
      <family val="2"/>
    </font>
    <font>
      <b/>
      <sz val="16"/>
      <color rgb="FFFFFFFF"/>
      <name val="Arial"/>
      <family val="2"/>
    </font>
    <font>
      <b/>
      <sz val="9"/>
      <color rgb="FF2E7D32"/>
      <name val="Arial"/>
      <family val="2"/>
    </font>
    <font>
      <sz val="9"/>
      <color rgb="FFF57F17"/>
      <name val="Arial"/>
      <family val="2"/>
    </font>
    <font>
      <b/>
      <sz val="9"/>
      <color rgb="FFB71C1C"/>
      <name val="Arial"/>
      <family val="2"/>
    </font>
    <font>
      <b/>
      <sz val="9"/>
      <color rgb="FFE65100"/>
      <name val="Arial"/>
      <family val="2"/>
    </font>
    <font>
      <b/>
      <sz val="9"/>
      <color rgb="FFF57F17"/>
      <name val="Arial"/>
      <family val="2"/>
    </font>
    <font>
      <i/>
      <sz val="9"/>
      <color rgb="FF37474F"/>
      <name val="Arial"/>
      <family val="2"/>
    </font>
    <font>
      <b/>
      <sz val="10"/>
      <color rgb="FFFFFFFF"/>
      <name val="Arial"/>
      <family val="2"/>
    </font>
    <font>
      <sz val="10"/>
      <color rgb="FF37474F"/>
      <name val="Arial"/>
      <family val="2"/>
    </font>
    <font>
      <b/>
      <sz val="12"/>
      <color rgb="FF37474F"/>
      <name val="Arial"/>
      <family val="2"/>
    </font>
    <font>
      <sz val="10"/>
      <color rgb="FF2E7D32"/>
      <name val="Arial"/>
      <family val="2"/>
    </font>
    <font>
      <sz val="10"/>
      <color rgb="FF00695C"/>
      <name val="Arial"/>
      <family val="2"/>
    </font>
    <font>
      <sz val="10"/>
      <color rgb="FF1565C0"/>
      <name val="Arial"/>
      <family val="2"/>
    </font>
    <font>
      <sz val="10"/>
      <color rgb="FFE65100"/>
      <name val="Arial"/>
      <family val="2"/>
    </font>
    <font>
      <sz val="10"/>
      <color rgb="FF5B2D8E"/>
      <name val="Arial"/>
      <family val="2"/>
    </font>
    <font>
      <sz val="10"/>
      <color rgb="FFF57F17"/>
      <name val="Arial"/>
      <family val="2"/>
    </font>
    <font>
      <sz val="10"/>
      <color rgb="FFAD1457"/>
      <name val="Arial"/>
      <family val="2"/>
    </font>
    <font>
      <sz val="10"/>
      <color rgb="FFB71C1C"/>
      <name val="Arial"/>
      <family val="2"/>
    </font>
    <font>
      <b/>
      <sz val="13"/>
      <color rgb="FFFFFFFF"/>
      <name val="Arial"/>
      <family val="2"/>
    </font>
    <font>
      <sz val="8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5B2D8E"/>
        <bgColor rgb="FF283593"/>
      </patternFill>
    </fill>
    <fill>
      <patternFill patternType="solid">
        <fgColor rgb="FFAD1457"/>
        <bgColor rgb="FFB71C1C"/>
      </patternFill>
    </fill>
    <fill>
      <patternFill patternType="solid">
        <fgColor rgb="FF00695C"/>
        <bgColor rgb="FF2E7D32"/>
      </patternFill>
    </fill>
    <fill>
      <patternFill patternType="solid">
        <fgColor rgb="FF1565C0"/>
        <bgColor rgb="FF4672A8"/>
      </patternFill>
    </fill>
    <fill>
      <patternFill patternType="solid">
        <fgColor rgb="FFE65100"/>
        <bgColor rgb="FFF57F17"/>
      </patternFill>
    </fill>
    <fill>
      <patternFill patternType="solid">
        <fgColor rgb="FFF57F17"/>
        <bgColor rgb="FFDC853E"/>
      </patternFill>
    </fill>
    <fill>
      <patternFill patternType="solid">
        <fgColor rgb="FFEDE7F6"/>
        <bgColor rgb="FFE8EAF6"/>
      </patternFill>
    </fill>
    <fill>
      <patternFill patternType="solid">
        <fgColor rgb="FFFCE4EC"/>
        <bgColor rgb="FFFFEBEE"/>
      </patternFill>
    </fill>
    <fill>
      <patternFill patternType="solid">
        <fgColor rgb="FFE0F2F1"/>
        <bgColor rgb="FFE3F2FD"/>
      </patternFill>
    </fill>
    <fill>
      <patternFill patternType="solid">
        <fgColor rgb="FFE3F2FD"/>
        <bgColor rgb="FFE0F2F1"/>
      </patternFill>
    </fill>
    <fill>
      <patternFill patternType="solid">
        <fgColor rgb="FFFFF3E0"/>
        <bgColor rgb="FFFFF8E1"/>
      </patternFill>
    </fill>
    <fill>
      <patternFill patternType="solid">
        <fgColor rgb="FFFFF8E1"/>
        <bgColor rgb="FFFFF3E0"/>
      </patternFill>
    </fill>
    <fill>
      <patternFill patternType="solid">
        <fgColor rgb="FF37474F"/>
        <bgColor rgb="FF283593"/>
      </patternFill>
    </fill>
    <fill>
      <patternFill patternType="solid">
        <fgColor rgb="FFFFFFFF"/>
        <bgColor rgb="FFF9F9F9"/>
      </patternFill>
    </fill>
    <fill>
      <patternFill patternType="solid">
        <fgColor rgb="FFF5F5F5"/>
        <bgColor rgb="FFF9F9F9"/>
      </patternFill>
    </fill>
    <fill>
      <patternFill patternType="solid">
        <fgColor rgb="FF283593"/>
        <bgColor rgb="FF003366"/>
      </patternFill>
    </fill>
    <fill>
      <patternFill patternType="solid">
        <fgColor rgb="FF2E7D32"/>
        <bgColor rgb="FF00695C"/>
      </patternFill>
    </fill>
    <fill>
      <patternFill patternType="solid">
        <fgColor rgb="FFE8F5E9"/>
        <bgColor rgb="FFE0F2F1"/>
      </patternFill>
    </fill>
    <fill>
      <patternFill patternType="solid">
        <fgColor rgb="FFFFEBEE"/>
        <bgColor rgb="FFFCE4EC"/>
      </patternFill>
    </fill>
    <fill>
      <patternFill patternType="solid">
        <fgColor theme="1"/>
        <bgColor rgb="FF283593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/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/>
    <xf numFmtId="0" fontId="11" fillId="15" borderId="1" xfId="0" applyFont="1" applyFill="1" applyBorder="1" applyAlignment="1">
      <alignment horizontal="left" vertical="center"/>
    </xf>
    <xf numFmtId="3" fontId="12" fillId="15" borderId="1" xfId="0" applyNumberFormat="1" applyFont="1" applyFill="1" applyBorder="1" applyAlignment="1">
      <alignment horizontal="center" vertical="center"/>
    </xf>
    <xf numFmtId="164" fontId="12" fillId="15" borderId="1" xfId="0" applyNumberFormat="1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left" vertical="center"/>
    </xf>
    <xf numFmtId="0" fontId="12" fillId="16" borderId="1" xfId="0" applyFont="1" applyFill="1" applyBorder="1" applyAlignment="1">
      <alignment horizontal="left" vertical="center"/>
    </xf>
    <xf numFmtId="3" fontId="12" fillId="16" borderId="1" xfId="0" applyNumberFormat="1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164" fontId="12" fillId="16" borderId="1" xfId="0" applyNumberFormat="1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left" vertical="center"/>
    </xf>
    <xf numFmtId="0" fontId="13" fillId="15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0" fillId="3" borderId="0" xfId="0" applyFill="1"/>
    <xf numFmtId="0" fontId="3" fillId="3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/>
    </xf>
    <xf numFmtId="3" fontId="17" fillId="15" borderId="1" xfId="0" applyNumberFormat="1" applyFont="1" applyFill="1" applyBorder="1" applyAlignment="1">
      <alignment horizontal="center" vertical="center"/>
    </xf>
    <xf numFmtId="165" fontId="16" fillId="15" borderId="1" xfId="0" applyNumberFormat="1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3" fontId="17" fillId="16" borderId="1" xfId="0" applyNumberFormat="1" applyFont="1" applyFill="1" applyBorder="1" applyAlignment="1">
      <alignment horizontal="center" vertical="center"/>
    </xf>
    <xf numFmtId="165" fontId="19" fillId="16" borderId="1" xfId="0" applyNumberFormat="1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165" fontId="19" fillId="15" borderId="1" xfId="0" applyNumberFormat="1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65" fontId="18" fillId="16" borderId="1" xfId="0" applyNumberFormat="1" applyFont="1" applyFill="1" applyBorder="1" applyAlignment="1">
      <alignment horizontal="center" vertical="center"/>
    </xf>
    <xf numFmtId="165" fontId="18" fillId="15" borderId="1" xfId="0" applyNumberFormat="1" applyFont="1" applyFill="1" applyBorder="1" applyAlignment="1">
      <alignment horizontal="center" vertical="center"/>
    </xf>
    <xf numFmtId="165" fontId="12" fillId="15" borderId="1" xfId="0" applyNumberFormat="1" applyFont="1" applyFill="1" applyBorder="1" applyAlignment="1">
      <alignment horizontal="center" vertical="center"/>
    </xf>
    <xf numFmtId="165" fontId="12" fillId="16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3" fillId="4" borderId="1" xfId="0" applyFont="1" applyFill="1" applyBorder="1" applyAlignment="1">
      <alignment horizontal="center" vertical="center" wrapText="1"/>
    </xf>
    <xf numFmtId="0" fontId="0" fillId="6" borderId="0" xfId="0" applyFill="1"/>
    <xf numFmtId="3" fontId="20" fillId="15" borderId="1" xfId="0" applyNumberFormat="1" applyFont="1" applyFill="1" applyBorder="1" applyAlignment="1">
      <alignment horizontal="center" vertical="center"/>
    </xf>
    <xf numFmtId="3" fontId="20" fillId="16" borderId="1" xfId="0" applyNumberFormat="1" applyFont="1" applyFill="1" applyBorder="1" applyAlignment="1">
      <alignment horizontal="center" vertical="center"/>
    </xf>
    <xf numFmtId="164" fontId="11" fillId="15" borderId="1" xfId="0" applyNumberFormat="1" applyFont="1" applyFill="1" applyBorder="1" applyAlignment="1">
      <alignment horizontal="center" vertical="center"/>
    </xf>
    <xf numFmtId="164" fontId="11" fillId="16" borderId="1" xfId="0" applyNumberFormat="1" applyFont="1" applyFill="1" applyBorder="1" applyAlignment="1">
      <alignment horizontal="center" vertical="center"/>
    </xf>
    <xf numFmtId="164" fontId="16" fillId="16" borderId="1" xfId="0" applyNumberFormat="1" applyFont="1" applyFill="1" applyBorder="1" applyAlignment="1">
      <alignment horizontal="center" vertical="center"/>
    </xf>
    <xf numFmtId="164" fontId="18" fillId="16" borderId="1" xfId="0" applyNumberFormat="1" applyFont="1" applyFill="1" applyBorder="1" applyAlignment="1">
      <alignment horizontal="center" vertical="center"/>
    </xf>
    <xf numFmtId="0" fontId="0" fillId="17" borderId="0" xfId="0" applyFill="1"/>
    <xf numFmtId="0" fontId="3" fillId="14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left" vertical="center"/>
    </xf>
    <xf numFmtId="0" fontId="22" fillId="18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20" borderId="1" xfId="0" applyFont="1" applyFill="1" applyBorder="1" applyAlignment="1">
      <alignment horizontal="center" vertical="center"/>
    </xf>
    <xf numFmtId="0" fontId="0" fillId="14" borderId="0" xfId="0" applyFill="1"/>
    <xf numFmtId="0" fontId="3" fillId="14" borderId="1" xfId="0" applyFont="1" applyFill="1" applyBorder="1" applyAlignment="1">
      <alignment horizontal="center" vertical="center" wrapText="1"/>
    </xf>
    <xf numFmtId="0" fontId="34" fillId="15" borderId="1" xfId="0" applyFont="1" applyFill="1" applyBorder="1" applyAlignment="1">
      <alignment horizontal="center" vertical="center"/>
    </xf>
    <xf numFmtId="0" fontId="34" fillId="16" borderId="1" xfId="0" applyFont="1" applyFill="1" applyBorder="1" applyAlignment="1">
      <alignment horizontal="center" vertical="center"/>
    </xf>
    <xf numFmtId="0" fontId="0" fillId="22" borderId="0" xfId="0" applyFill="1"/>
    <xf numFmtId="0" fontId="21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0" fillId="21" borderId="1" xfId="0" applyFont="1" applyFill="1" applyBorder="1" applyAlignment="1">
      <alignment horizontal="left" vertical="center"/>
    </xf>
    <xf numFmtId="0" fontId="10" fillId="21" borderId="2" xfId="0" applyFont="1" applyFill="1" applyBorder="1" applyAlignment="1">
      <alignment horizontal="left" vertical="center"/>
    </xf>
    <xf numFmtId="0" fontId="15" fillId="4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25" fillId="19" borderId="1" xfId="0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left" vertical="center" wrapText="1"/>
    </xf>
    <xf numFmtId="0" fontId="28" fillId="12" borderId="1" xfId="0" applyFont="1" applyFill="1" applyBorder="1" applyAlignment="1">
      <alignment horizontal="left" vertical="center" wrapText="1"/>
    </xf>
    <xf numFmtId="0" fontId="32" fillId="20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7" fillId="11" borderId="1" xfId="0" applyFont="1" applyFill="1" applyBorder="1" applyAlignment="1">
      <alignment horizontal="left" vertical="center" wrapText="1"/>
    </xf>
    <xf numFmtId="0" fontId="29" fillId="8" borderId="1" xfId="0" applyFont="1" applyFill="1" applyBorder="1" applyAlignment="1">
      <alignment horizontal="left" vertical="center" wrapText="1"/>
    </xf>
    <xf numFmtId="0" fontId="30" fillId="13" borderId="1" xfId="0" applyFont="1" applyFill="1" applyBorder="1" applyAlignment="1">
      <alignment horizontal="left" vertical="center" wrapText="1"/>
    </xf>
    <xf numFmtId="0" fontId="15" fillId="17" borderId="0" xfId="0" applyFont="1" applyFill="1" applyAlignment="1">
      <alignment horizontal="center" vertical="center"/>
    </xf>
    <xf numFmtId="0" fontId="33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EE"/>
      <rgbColor rgb="FFFF00FF"/>
      <rgbColor rgb="FF00FFFF"/>
      <rgbColor rgb="FF800000"/>
      <rgbColor rgb="FF2E7D32"/>
      <rgbColor rgb="FF000080"/>
      <rgbColor rgb="FF8AA64F"/>
      <rgbColor rgb="FF800080"/>
      <rgbColor rgb="FF00695C"/>
      <rgbColor rgb="FFB8CD97"/>
      <rgbColor rgb="FF878787"/>
      <rgbColor rgb="FF93A9CE"/>
      <rgbColor rgb="FFAB4744"/>
      <rgbColor rgb="FFFFF8E1"/>
      <rgbColor rgb="FFE0F2F1"/>
      <rgbColor rgb="FF5B2D8E"/>
      <rgbColor rgb="FFDC853E"/>
      <rgbColor rgb="FF1565C0"/>
      <rgbColor rgb="FFCFD8DC"/>
      <rgbColor rgb="FF000080"/>
      <rgbColor rgb="FFFF00FF"/>
      <rgbColor rgb="FFF5F5F5"/>
      <rgbColor rgb="FF00FFFF"/>
      <rgbColor rgb="FF800080"/>
      <rgbColor rgb="FF800000"/>
      <rgbColor rgb="FF4F81BD"/>
      <rgbColor rgb="FF0000FF"/>
      <rgbColor rgb="FF00CCFF"/>
      <rgbColor rgb="FFE3F2FD"/>
      <rgbColor rgb="FFE8F5E9"/>
      <rgbColor rgb="FFFFF3E0"/>
      <rgbColor rgb="FFE8EAF6"/>
      <rgbColor rgb="FFD09493"/>
      <rgbColor rgb="FFCE93D8"/>
      <rgbColor rgb="FFD9D9D9"/>
      <rgbColor rgb="FF4672A8"/>
      <rgbColor rgb="FFF9F9F9"/>
      <rgbColor rgb="FFEDE7F6"/>
      <rgbColor rgb="FFFCE4EC"/>
      <rgbColor rgb="FFF57F17"/>
      <rgbColor rgb="FFE65100"/>
      <rgbColor rgb="FF725990"/>
      <rgbColor rgb="FFA99BBD"/>
      <rgbColor rgb="FF003366"/>
      <rgbColor rgb="FF4299B0"/>
      <rgbColor rgb="FF003300"/>
      <rgbColor rgb="FF333300"/>
      <rgbColor rgb="FFB71C1C"/>
      <rgbColor rgb="FFAD1457"/>
      <rgbColor rgb="FF283593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Festival Revenue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Dashboard'!$C$12</c:f>
              <c:strCache>
                <c:ptCount val="1"/>
                <c:pt idx="0">
                  <c:v>Total Revenue (₹)</c:v>
                </c:pt>
              </c:strCache>
            </c:strRef>
          </c:tx>
          <c:spPr>
            <a:solidFill>
              <a:srgbClr val="5B2D8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Dashboard'!$A$13:$A$22</c:f>
              <c:strCache>
                <c:ptCount val="10"/>
                <c:pt idx="0">
                  <c:v>Ziro Festival Arunachal</c:v>
                </c:pt>
                <c:pt idx="1">
                  <c:v>Hornbill Festival Nagaland</c:v>
                </c:pt>
                <c:pt idx="2">
                  <c:v>NH7 Pune</c:v>
                </c:pt>
                <c:pt idx="3">
                  <c:v>Sunburn Goa</c:v>
                </c:pt>
                <c:pt idx="4">
                  <c:v>Bollywood Music Project</c:v>
                </c:pt>
                <c:pt idx="5">
                  <c:v>Lollapalooza Mumbai</c:v>
                </c:pt>
                <c:pt idx="6">
                  <c:v>VH1 Supersonic Delhi</c:v>
                </c:pt>
                <c:pt idx="7">
                  <c:v>Supersonic Bengaluru</c:v>
                </c:pt>
                <c:pt idx="8">
                  <c:v>Goa Tribal Festival</c:v>
                </c:pt>
                <c:pt idx="9">
                  <c:v>Magnetic Fields Rajasthan</c:v>
                </c:pt>
              </c:strCache>
            </c:strRef>
          </c:cat>
          <c:val>
            <c:numRef>
              <c:f>'📊 Dashboard'!$C$13:$C$22</c:f>
              <c:numCache>
                <c:formatCode>\₹#,##0</c:formatCode>
                <c:ptCount val="10"/>
                <c:pt idx="0">
                  <c:v>1157671210</c:v>
                </c:pt>
                <c:pt idx="1">
                  <c:v>983612083</c:v>
                </c:pt>
                <c:pt idx="2">
                  <c:v>924981614</c:v>
                </c:pt>
                <c:pt idx="3">
                  <c:v>840154210</c:v>
                </c:pt>
                <c:pt idx="4">
                  <c:v>808366341</c:v>
                </c:pt>
                <c:pt idx="5">
                  <c:v>613126824</c:v>
                </c:pt>
                <c:pt idx="6">
                  <c:v>496261813</c:v>
                </c:pt>
                <c:pt idx="7">
                  <c:v>468868182</c:v>
                </c:pt>
                <c:pt idx="8">
                  <c:v>430532075</c:v>
                </c:pt>
                <c:pt idx="9">
                  <c:v>417295881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4-434D-8937-E8FBECD8A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01078"/>
        <c:axId val="56114932"/>
      </c:barChart>
      <c:catAx>
        <c:axId val="675010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Festival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114932"/>
        <c:crosses val="autoZero"/>
        <c:auto val="1"/>
        <c:lblAlgn val="ctr"/>
        <c:lblOffset val="100"/>
        <c:noMultiLvlLbl val="0"/>
      </c:catAx>
      <c:valAx>
        <c:axId val="561149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5010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Streaming Plays by Artist (Millions)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'🎤 Artist Analysis'!$F$6</c:f>
              <c:strCache>
                <c:ptCount val="1"/>
                <c:pt idx="0">
                  <c:v>Streams (M)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'🎤 Artist Analysis'!$A$7:$A$16</c:f>
              <c:strCache>
                <c:ptCount val="10"/>
                <c:pt idx="0">
                  <c:v>Ed Sheeran</c:v>
                </c:pt>
                <c:pt idx="1">
                  <c:v>Badshah</c:v>
                </c:pt>
                <c:pt idx="2">
                  <c:v>Honey Singh</c:v>
                </c:pt>
                <c:pt idx="3">
                  <c:v>Arijit Singh</c:v>
                </c:pt>
                <c:pt idx="4">
                  <c:v>Diljit Dosanjh</c:v>
                </c:pt>
                <c:pt idx="5">
                  <c:v>DJ Snake</c:v>
                </c:pt>
                <c:pt idx="6">
                  <c:v>Martin Garrix</c:v>
                </c:pt>
                <c:pt idx="7">
                  <c:v>Mika Singh</c:v>
                </c:pt>
                <c:pt idx="8">
                  <c:v>Shreya Ghoshal</c:v>
                </c:pt>
                <c:pt idx="9">
                  <c:v>Bryan Adams</c:v>
                </c:pt>
              </c:strCache>
            </c:strRef>
          </c:cat>
          <c:val>
            <c:numRef>
              <c:f>'🎤 Artist Analysis'!$F$7:$F$16</c:f>
              <c:numCache>
                <c:formatCode>#,##0</c:formatCode>
                <c:ptCount val="10"/>
                <c:pt idx="0">
                  <c:v>736</c:v>
                </c:pt>
                <c:pt idx="1">
                  <c:v>483</c:v>
                </c:pt>
                <c:pt idx="2">
                  <c:v>430</c:v>
                </c:pt>
                <c:pt idx="3">
                  <c:v>584</c:v>
                </c:pt>
                <c:pt idx="4">
                  <c:v>116</c:v>
                </c:pt>
                <c:pt idx="5">
                  <c:v>429</c:v>
                </c:pt>
                <c:pt idx="6">
                  <c:v>298</c:v>
                </c:pt>
                <c:pt idx="7">
                  <c:v>371</c:v>
                </c:pt>
                <c:pt idx="8">
                  <c:v>271</c:v>
                </c:pt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F-44FF-AB8F-A1CB0503C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75634422"/>
        <c:axId val="76897337"/>
      </c:barChart>
      <c:catAx>
        <c:axId val="7563442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7337"/>
        <c:crosses val="autoZero"/>
        <c:auto val="1"/>
        <c:lblAlgn val="ctr"/>
        <c:lblOffset val="100"/>
        <c:noMultiLvlLbl val="0"/>
      </c:catAx>
      <c:valAx>
        <c:axId val="7689733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344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Split by Festival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'🎪 Festival Analysis'!$D$6</c:f>
              <c:strCache>
                <c:ptCount val="1"/>
                <c:pt idx="0">
                  <c:v>Total Revenue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40-4795-9E0A-199F1E4852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40-4795-9E0A-199F1E4852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40-4795-9E0A-199F1E4852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140-4795-9E0A-199F1E4852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140-4795-9E0A-199F1E4852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140-4795-9E0A-199F1E4852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140-4795-9E0A-199F1E4852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140-4795-9E0A-199F1E4852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140-4795-9E0A-199F1E4852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140-4795-9E0A-199F1E4852D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eparator>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'🎪 Festival Analysis'!$A$7:$A$16</c:f>
              <c:strCache>
                <c:ptCount val="10"/>
                <c:pt idx="0">
                  <c:v>Ziro Festival Arunachal</c:v>
                </c:pt>
                <c:pt idx="1">
                  <c:v>Hornbill Festival Nagaland</c:v>
                </c:pt>
                <c:pt idx="2">
                  <c:v>NH7 Pune</c:v>
                </c:pt>
                <c:pt idx="3">
                  <c:v>Sunburn Goa</c:v>
                </c:pt>
                <c:pt idx="4">
                  <c:v>Bollywood Music Project</c:v>
                </c:pt>
                <c:pt idx="5">
                  <c:v>Lollapalooza Mumbai</c:v>
                </c:pt>
                <c:pt idx="6">
                  <c:v>VH1 Supersonic Delhi</c:v>
                </c:pt>
                <c:pt idx="7">
                  <c:v>Supersonic Bengaluru</c:v>
                </c:pt>
                <c:pt idx="8">
                  <c:v>Goa Tribal Festival</c:v>
                </c:pt>
                <c:pt idx="9">
                  <c:v>Magnetic Fields Rajasthan</c:v>
                </c:pt>
              </c:strCache>
            </c:strRef>
          </c:cat>
          <c:val>
            <c:numRef>
              <c:f>'🎪 Festival Analysis'!$D$7:$D$16</c:f>
              <c:numCache>
                <c:formatCode>\₹#,##0</c:formatCode>
                <c:ptCount val="10"/>
                <c:pt idx="0">
                  <c:v>1157671210</c:v>
                </c:pt>
                <c:pt idx="1">
                  <c:v>983612083</c:v>
                </c:pt>
                <c:pt idx="2">
                  <c:v>924981614</c:v>
                </c:pt>
                <c:pt idx="3">
                  <c:v>840154210</c:v>
                </c:pt>
                <c:pt idx="4">
                  <c:v>808366341</c:v>
                </c:pt>
                <c:pt idx="5">
                  <c:v>613126824</c:v>
                </c:pt>
                <c:pt idx="6">
                  <c:v>496261813</c:v>
                </c:pt>
                <c:pt idx="7">
                  <c:v>468868182</c:v>
                </c:pt>
                <c:pt idx="8">
                  <c:v>430532075</c:v>
                </c:pt>
                <c:pt idx="9">
                  <c:v>417295881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140-4795-9E0A-199F1E4852D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'📍 City &amp; Monthly Trends'!$D$20</c:f>
              <c:strCache>
                <c:ptCount val="1"/>
                <c:pt idx="0">
                  <c:v>Total Revenue (₹)</c:v>
                </c:pt>
              </c:strCache>
            </c:strRef>
          </c:tx>
          <c:spPr>
            <a:ln w="24840">
              <a:solidFill>
                <a:srgbClr val="E651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'📍 City &amp; Monthly Trends'!$A$21:$A$32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'📍 City &amp; Monthly Trends'!$D$21:$D$32</c:f>
              <c:numCache>
                <c:formatCode>\₹#,##0</c:formatCode>
                <c:ptCount val="12"/>
                <c:pt idx="0">
                  <c:v>653375988</c:v>
                </c:pt>
                <c:pt idx="1">
                  <c:v>432852449</c:v>
                </c:pt>
                <c:pt idx="2">
                  <c:v>431535924</c:v>
                </c:pt>
                <c:pt idx="3">
                  <c:v>468627454</c:v>
                </c:pt>
                <c:pt idx="4">
                  <c:v>652762817</c:v>
                </c:pt>
                <c:pt idx="5">
                  <c:v>536416537</c:v>
                </c:pt>
                <c:pt idx="6">
                  <c:v>726131799</c:v>
                </c:pt>
                <c:pt idx="7">
                  <c:v>1073837620</c:v>
                </c:pt>
                <c:pt idx="8">
                  <c:v>695359429</c:v>
                </c:pt>
                <c:pt idx="9">
                  <c:v>91024006</c:v>
                </c:pt>
                <c:pt idx="10">
                  <c:v>482468455</c:v>
                </c:pt>
                <c:pt idx="11">
                  <c:v>896477755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22-4CE0-A018-81DDB39D5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249747"/>
        <c:axId val="87636536"/>
      </c:lineChart>
      <c:catAx>
        <c:axId val="522497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636536"/>
        <c:crosses val="autoZero"/>
        <c:auto val="1"/>
        <c:lblAlgn val="ctr"/>
        <c:lblOffset val="100"/>
        <c:noMultiLvlLbl val="0"/>
      </c:catAx>
      <c:valAx>
        <c:axId val="876365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2497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'📍 City &amp; Monthly Trends'!$C$6</c:f>
              <c:strCache>
                <c:ptCount val="1"/>
                <c:pt idx="0">
                  <c:v>Total Revenue (₹)</c:v>
                </c:pt>
              </c:strCache>
            </c:strRef>
          </c:tx>
          <c:spPr>
            <a:solidFill>
              <a:srgbClr val="1565C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'📍 City &amp; Monthly Trends'!$A$7:$A$16</c:f>
              <c:strCache>
                <c:ptCount val="10"/>
                <c:pt idx="0">
                  <c:v>Goa</c:v>
                </c:pt>
                <c:pt idx="1">
                  <c:v>Jaipur</c:v>
                </c:pt>
                <c:pt idx="2">
                  <c:v>Nagpur</c:v>
                </c:pt>
                <c:pt idx="3">
                  <c:v>Delhi</c:v>
                </c:pt>
                <c:pt idx="4">
                  <c:v>Pune</c:v>
                </c:pt>
                <c:pt idx="5">
                  <c:v>Bengaluru</c:v>
                </c:pt>
                <c:pt idx="6">
                  <c:v>Kolkata</c:v>
                </c:pt>
                <c:pt idx="7">
                  <c:v>Chandigarh</c:v>
                </c:pt>
                <c:pt idx="8">
                  <c:v>Amritsar</c:v>
                </c:pt>
                <c:pt idx="9">
                  <c:v>Mumbai</c:v>
                </c:pt>
              </c:strCache>
            </c:strRef>
          </c:cat>
          <c:val>
            <c:numRef>
              <c:f>'📍 City &amp; Monthly Trends'!$C$7:$C$16</c:f>
              <c:numCache>
                <c:formatCode>\₹#,##0</c:formatCode>
                <c:ptCount val="10"/>
                <c:pt idx="0">
                  <c:v>1135450904</c:v>
                </c:pt>
                <c:pt idx="1">
                  <c:v>1103867600</c:v>
                </c:pt>
                <c:pt idx="2">
                  <c:v>1057945551</c:v>
                </c:pt>
                <c:pt idx="3">
                  <c:v>937368205</c:v>
                </c:pt>
                <c:pt idx="4">
                  <c:v>704941981</c:v>
                </c:pt>
                <c:pt idx="5">
                  <c:v>633786616</c:v>
                </c:pt>
                <c:pt idx="6">
                  <c:v>633777836</c:v>
                </c:pt>
                <c:pt idx="7">
                  <c:v>387796078</c:v>
                </c:pt>
                <c:pt idx="8">
                  <c:v>374105230</c:v>
                </c:pt>
                <c:pt idx="9">
                  <c:v>171830232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1-485B-BFBB-5063D8C61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817854"/>
        <c:axId val="82345595"/>
      </c:barChart>
      <c:catAx>
        <c:axId val="5881785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345595"/>
        <c:crosses val="autoZero"/>
        <c:auto val="1"/>
        <c:lblAlgn val="ctr"/>
        <c:lblOffset val="100"/>
        <c:noMultiLvlLbl val="0"/>
      </c:catAx>
      <c:valAx>
        <c:axId val="8234559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8178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10</xdr:row>
      <xdr:rowOff>3885</xdr:rowOff>
    </xdr:from>
    <xdr:to>
      <xdr:col>11</xdr:col>
      <xdr:colOff>943545</xdr:colOff>
      <xdr:row>32</xdr:row>
      <xdr:rowOff>132465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19051</xdr:colOff>
      <xdr:row>18</xdr:row>
      <xdr:rowOff>7215</xdr:rowOff>
    </xdr:from>
    <xdr:to>
      <xdr:col>16</xdr:col>
      <xdr:colOff>38100</xdr:colOff>
      <xdr:row>33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</xdr:colOff>
      <xdr:row>3</xdr:row>
      <xdr:rowOff>188190</xdr:rowOff>
    </xdr:from>
    <xdr:to>
      <xdr:col>18</xdr:col>
      <xdr:colOff>284895</xdr:colOff>
      <xdr:row>22</xdr:row>
      <xdr:rowOff>6330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17</xdr:row>
      <xdr:rowOff>130680</xdr:rowOff>
    </xdr:from>
    <xdr:to>
      <xdr:col>15</xdr:col>
      <xdr:colOff>475200</xdr:colOff>
      <xdr:row>40</xdr:row>
      <xdr:rowOff>69120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495299</xdr:colOff>
      <xdr:row>17</xdr:row>
      <xdr:rowOff>131040</xdr:rowOff>
    </xdr:from>
    <xdr:to>
      <xdr:col>23</xdr:col>
      <xdr:colOff>31304</xdr:colOff>
      <xdr:row>33</xdr:row>
      <xdr:rowOff>161925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2D8E"/>
  </sheetPr>
  <dimension ref="A1:Q22"/>
  <sheetViews>
    <sheetView showGridLines="0" zoomScaleNormal="100" workbookViewId="0">
      <selection activeCell="E26" sqref="E26"/>
    </sheetView>
  </sheetViews>
  <sheetFormatPr defaultColWidth="8.7109375" defaultRowHeight="15" x14ac:dyDescent="0.25"/>
  <cols>
    <col min="1" max="1" width="26" customWidth="1"/>
    <col min="2" max="2" width="8" customWidth="1"/>
    <col min="3" max="6" width="16" customWidth="1"/>
    <col min="7" max="7" width="4" customWidth="1"/>
    <col min="8" max="8" width="21.140625" customWidth="1"/>
    <col min="9" max="9" width="40" customWidth="1"/>
    <col min="10" max="10" width="19.5703125" customWidth="1"/>
    <col min="11" max="11" width="4" customWidth="1"/>
    <col min="12" max="12" width="41.28515625" customWidth="1"/>
    <col min="13" max="13" width="22" customWidth="1"/>
    <col min="14" max="14" width="20" customWidth="1"/>
    <col min="15" max="15" width="13" customWidth="1"/>
    <col min="16" max="16" width="14" customWidth="1"/>
    <col min="17" max="17" width="8" customWidth="1"/>
  </cols>
  <sheetData>
    <row r="1" spans="1:17" ht="6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6.25" x14ac:dyDescent="0.25">
      <c r="A2" s="72" t="s">
        <v>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3" spans="1:17" x14ac:dyDescent="0.25">
      <c r="A3" s="73" t="s">
        <v>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</row>
    <row r="4" spans="1:17" ht="6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6" spans="1:17" ht="12" customHeight="1" x14ac:dyDescent="0.25"/>
    <row r="7" spans="1:17" ht="36" customHeight="1" x14ac:dyDescent="0.25">
      <c r="A7" s="74" t="s">
        <v>2</v>
      </c>
      <c r="B7" s="74"/>
      <c r="C7" s="75" t="s">
        <v>3</v>
      </c>
      <c r="D7" s="75"/>
      <c r="E7" s="76" t="s">
        <v>4</v>
      </c>
      <c r="F7" s="76"/>
      <c r="G7" s="77" t="s">
        <v>5</v>
      </c>
      <c r="H7" s="77"/>
      <c r="I7" s="78" t="s">
        <v>6</v>
      </c>
      <c r="J7" s="78"/>
      <c r="K7" s="79" t="s">
        <v>7</v>
      </c>
      <c r="L7" s="79"/>
    </row>
    <row r="8" spans="1:17" ht="30" customHeight="1" x14ac:dyDescent="0.25">
      <c r="A8" s="67" t="s">
        <v>8</v>
      </c>
      <c r="B8" s="67"/>
      <c r="C8" s="68" t="s">
        <v>9</v>
      </c>
      <c r="D8" s="68"/>
      <c r="E8" s="69" t="s">
        <v>10</v>
      </c>
      <c r="F8" s="69"/>
      <c r="G8" s="70" t="s">
        <v>11</v>
      </c>
      <c r="H8" s="70"/>
      <c r="I8" s="71" t="s">
        <v>12</v>
      </c>
      <c r="J8" s="71"/>
      <c r="K8" s="64" t="s">
        <v>13</v>
      </c>
      <c r="L8" s="64"/>
    </row>
    <row r="9" spans="1:17" ht="12" customHeight="1" x14ac:dyDescent="0.25"/>
    <row r="11" spans="1:17" x14ac:dyDescent="0.25">
      <c r="A11" s="65" t="s">
        <v>14</v>
      </c>
      <c r="B11" s="65"/>
      <c r="C11" s="65"/>
      <c r="D11" s="65"/>
      <c r="E11" s="65"/>
      <c r="F11" s="65"/>
      <c r="M11" s="66" t="s">
        <v>15</v>
      </c>
      <c r="N11" s="66"/>
      <c r="O11" s="66"/>
      <c r="P11" s="66"/>
      <c r="Q11" s="66"/>
    </row>
    <row r="12" spans="1:17" x14ac:dyDescent="0.25">
      <c r="A12" s="5" t="s">
        <v>16</v>
      </c>
      <c r="B12" s="5" t="s">
        <v>17</v>
      </c>
      <c r="C12" s="5" t="s">
        <v>18</v>
      </c>
      <c r="D12" s="5" t="s">
        <v>19</v>
      </c>
      <c r="E12" s="5" t="s">
        <v>20</v>
      </c>
      <c r="F12" s="5" t="s">
        <v>21</v>
      </c>
      <c r="M12" s="4" t="s">
        <v>22</v>
      </c>
      <c r="N12" s="4" t="s">
        <v>23</v>
      </c>
      <c r="O12" s="4" t="s">
        <v>24</v>
      </c>
      <c r="P12" s="4" t="s">
        <v>25</v>
      </c>
      <c r="Q12" s="4" t="s">
        <v>26</v>
      </c>
    </row>
    <row r="13" spans="1:17" x14ac:dyDescent="0.25">
      <c r="A13" s="7" t="s">
        <v>27</v>
      </c>
      <c r="B13" s="8">
        <v>13</v>
      </c>
      <c r="C13" s="9">
        <v>1157671210</v>
      </c>
      <c r="D13" s="9">
        <v>89051631</v>
      </c>
      <c r="E13" s="8">
        <v>278482</v>
      </c>
      <c r="F13" s="8">
        <v>23207</v>
      </c>
      <c r="M13" s="10" t="s">
        <v>28</v>
      </c>
      <c r="N13" s="11" t="s">
        <v>29</v>
      </c>
      <c r="O13" s="12">
        <v>736</v>
      </c>
      <c r="P13" s="12">
        <v>55</v>
      </c>
      <c r="Q13" s="13" t="s">
        <v>30</v>
      </c>
    </row>
    <row r="14" spans="1:17" x14ac:dyDescent="0.25">
      <c r="A14" s="10" t="s">
        <v>31</v>
      </c>
      <c r="B14" s="12">
        <v>10</v>
      </c>
      <c r="C14" s="14">
        <v>983612083</v>
      </c>
      <c r="D14" s="14">
        <v>98361208</v>
      </c>
      <c r="E14" s="12">
        <v>230535</v>
      </c>
      <c r="F14" s="12">
        <v>25615</v>
      </c>
      <c r="M14" s="7" t="s">
        <v>32</v>
      </c>
      <c r="N14" s="15" t="s">
        <v>33</v>
      </c>
      <c r="O14" s="8">
        <v>584</v>
      </c>
      <c r="P14" s="8">
        <v>30</v>
      </c>
      <c r="Q14" s="16" t="s">
        <v>30</v>
      </c>
    </row>
    <row r="15" spans="1:17" x14ac:dyDescent="0.25">
      <c r="A15" s="7" t="s">
        <v>34</v>
      </c>
      <c r="B15" s="8">
        <v>13</v>
      </c>
      <c r="C15" s="9">
        <v>924981614</v>
      </c>
      <c r="D15" s="9">
        <v>71152431</v>
      </c>
      <c r="E15" s="8">
        <v>317695</v>
      </c>
      <c r="F15" s="8">
        <v>24438</v>
      </c>
      <c r="M15" s="10" t="s">
        <v>35</v>
      </c>
      <c r="N15" s="11" t="s">
        <v>33</v>
      </c>
      <c r="O15" s="12">
        <v>483</v>
      </c>
      <c r="P15" s="12">
        <v>33</v>
      </c>
      <c r="Q15" s="17" t="s">
        <v>36</v>
      </c>
    </row>
    <row r="16" spans="1:17" x14ac:dyDescent="0.25">
      <c r="A16" s="10" t="s">
        <v>37</v>
      </c>
      <c r="B16" s="12">
        <v>15</v>
      </c>
      <c r="C16" s="14">
        <v>840154210</v>
      </c>
      <c r="D16" s="14">
        <v>56010280</v>
      </c>
      <c r="E16" s="12">
        <v>250011</v>
      </c>
      <c r="F16" s="12">
        <v>20834</v>
      </c>
      <c r="M16" s="7" t="s">
        <v>13</v>
      </c>
      <c r="N16" s="15" t="s">
        <v>38</v>
      </c>
      <c r="O16" s="8">
        <v>430</v>
      </c>
      <c r="P16" s="8">
        <v>34</v>
      </c>
      <c r="Q16" s="18" t="s">
        <v>36</v>
      </c>
    </row>
    <row r="17" spans="1:17" x14ac:dyDescent="0.25">
      <c r="A17" s="7" t="s">
        <v>39</v>
      </c>
      <c r="B17" s="8">
        <v>12</v>
      </c>
      <c r="C17" s="9">
        <v>808366341</v>
      </c>
      <c r="D17" s="9">
        <v>67363861</v>
      </c>
      <c r="E17" s="8">
        <v>199467</v>
      </c>
      <c r="F17" s="8">
        <v>19947</v>
      </c>
      <c r="M17" s="10" t="s">
        <v>40</v>
      </c>
      <c r="N17" s="11" t="s">
        <v>41</v>
      </c>
      <c r="O17" s="12">
        <v>429</v>
      </c>
      <c r="P17" s="12">
        <v>32</v>
      </c>
      <c r="Q17" s="17" t="s">
        <v>36</v>
      </c>
    </row>
    <row r="18" spans="1:17" x14ac:dyDescent="0.25">
      <c r="A18" s="10" t="s">
        <v>42</v>
      </c>
      <c r="B18" s="12">
        <v>9</v>
      </c>
      <c r="C18" s="14">
        <v>613126824</v>
      </c>
      <c r="D18" s="14">
        <v>68125202</v>
      </c>
      <c r="E18" s="12">
        <v>178217</v>
      </c>
      <c r="F18" s="12">
        <v>19802</v>
      </c>
      <c r="M18" s="7" t="s">
        <v>43</v>
      </c>
      <c r="N18" s="15" t="s">
        <v>33</v>
      </c>
      <c r="O18" s="8">
        <v>371</v>
      </c>
      <c r="P18" s="8">
        <v>12</v>
      </c>
      <c r="Q18" s="18" t="s">
        <v>36</v>
      </c>
    </row>
    <row r="19" spans="1:17" x14ac:dyDescent="0.25">
      <c r="A19" s="7" t="s">
        <v>44</v>
      </c>
      <c r="B19" s="8">
        <v>9</v>
      </c>
      <c r="C19" s="9">
        <v>496261813</v>
      </c>
      <c r="D19" s="9">
        <v>55140201</v>
      </c>
      <c r="E19" s="8">
        <v>125413</v>
      </c>
      <c r="F19" s="8">
        <v>13935</v>
      </c>
      <c r="M19" s="10" t="s">
        <v>45</v>
      </c>
      <c r="N19" s="11" t="s">
        <v>41</v>
      </c>
      <c r="O19" s="12">
        <v>298</v>
      </c>
      <c r="P19" s="12">
        <v>43</v>
      </c>
      <c r="Q19" s="17" t="s">
        <v>36</v>
      </c>
    </row>
    <row r="20" spans="1:17" x14ac:dyDescent="0.25">
      <c r="A20" s="10" t="s">
        <v>46</v>
      </c>
      <c r="B20" s="12">
        <v>10</v>
      </c>
      <c r="C20" s="14">
        <v>468868182</v>
      </c>
      <c r="D20" s="14">
        <v>46886818</v>
      </c>
      <c r="E20" s="12">
        <v>159604</v>
      </c>
      <c r="F20" s="12">
        <v>19951</v>
      </c>
      <c r="M20" s="7" t="s">
        <v>47</v>
      </c>
      <c r="N20" s="15" t="s">
        <v>48</v>
      </c>
      <c r="O20" s="8">
        <v>271</v>
      </c>
      <c r="P20" s="8">
        <v>23</v>
      </c>
      <c r="Q20" s="18" t="s">
        <v>36</v>
      </c>
    </row>
    <row r="21" spans="1:17" x14ac:dyDescent="0.25">
      <c r="A21" s="7" t="s">
        <v>49</v>
      </c>
      <c r="B21" s="8">
        <v>7</v>
      </c>
      <c r="C21" s="9">
        <v>430532075</v>
      </c>
      <c r="D21" s="9">
        <v>61504582</v>
      </c>
      <c r="E21" s="8">
        <v>127850</v>
      </c>
      <c r="F21" s="8">
        <v>18264</v>
      </c>
      <c r="M21" s="10" t="s">
        <v>50</v>
      </c>
      <c r="N21" s="11" t="s">
        <v>51</v>
      </c>
      <c r="O21" s="12">
        <v>116</v>
      </c>
      <c r="P21" s="12">
        <v>46</v>
      </c>
      <c r="Q21" s="13" t="s">
        <v>30</v>
      </c>
    </row>
    <row r="22" spans="1:17" x14ac:dyDescent="0.25">
      <c r="A22" s="10" t="s">
        <v>52</v>
      </c>
      <c r="B22" s="12">
        <v>7</v>
      </c>
      <c r="C22" s="14">
        <v>417295881</v>
      </c>
      <c r="D22" s="14">
        <v>59613697</v>
      </c>
      <c r="E22" s="12">
        <v>108618</v>
      </c>
      <c r="F22" s="12">
        <v>18103</v>
      </c>
      <c r="M22" s="7" t="s">
        <v>53</v>
      </c>
      <c r="N22" s="15" t="s">
        <v>54</v>
      </c>
      <c r="O22" s="8">
        <v>81</v>
      </c>
      <c r="P22" s="8">
        <v>30</v>
      </c>
      <c r="Q22" s="16" t="s">
        <v>30</v>
      </c>
    </row>
  </sheetData>
  <mergeCells count="16">
    <mergeCell ref="A2:Q2"/>
    <mergeCell ref="A3:Q3"/>
    <mergeCell ref="A7:B7"/>
    <mergeCell ref="C7:D7"/>
    <mergeCell ref="E7:F7"/>
    <mergeCell ref="G7:H7"/>
    <mergeCell ref="I7:J7"/>
    <mergeCell ref="K7:L7"/>
    <mergeCell ref="K8:L8"/>
    <mergeCell ref="A11:F11"/>
    <mergeCell ref="M11:Q11"/>
    <mergeCell ref="A8:B8"/>
    <mergeCell ref="C8:D8"/>
    <mergeCell ref="E8:F8"/>
    <mergeCell ref="G8:H8"/>
    <mergeCell ref="I8:J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D1457"/>
  </sheetPr>
  <dimension ref="A1:O27"/>
  <sheetViews>
    <sheetView showGridLines="0" zoomScaleNormal="100" workbookViewId="0">
      <selection activeCell="S16" sqref="S16"/>
    </sheetView>
  </sheetViews>
  <sheetFormatPr defaultColWidth="8.7109375" defaultRowHeight="15" x14ac:dyDescent="0.25"/>
  <cols>
    <col min="1" max="1" width="22" customWidth="1"/>
    <col min="2" max="2" width="20" customWidth="1"/>
    <col min="3" max="5" width="14" customWidth="1"/>
    <col min="6" max="6" width="12" customWidth="1"/>
    <col min="7" max="7" width="18" customWidth="1"/>
    <col min="8" max="9" width="10" customWidth="1"/>
    <col min="10" max="10" width="12" customWidth="1"/>
    <col min="11" max="11" width="16" customWidth="1"/>
  </cols>
  <sheetData>
    <row r="1" spans="1:15" ht="6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20.25" x14ac:dyDescent="0.25">
      <c r="A2" s="80" t="s">
        <v>55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1:15" ht="6" customHeight="1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5" spans="1:15" x14ac:dyDescent="0.25">
      <c r="A5" s="81" t="s">
        <v>56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  <c r="N5" s="62"/>
      <c r="O5" s="62"/>
    </row>
    <row r="6" spans="1:15" ht="27.75" customHeight="1" x14ac:dyDescent="0.25">
      <c r="A6" s="20" t="s">
        <v>22</v>
      </c>
      <c r="B6" s="20" t="s">
        <v>23</v>
      </c>
      <c r="C6" s="20" t="s">
        <v>57</v>
      </c>
      <c r="D6" s="20" t="s">
        <v>21</v>
      </c>
      <c r="E6" s="20" t="s">
        <v>25</v>
      </c>
      <c r="F6" s="20" t="s">
        <v>24</v>
      </c>
      <c r="G6" s="20" t="s">
        <v>58</v>
      </c>
      <c r="H6" s="20" t="s">
        <v>59</v>
      </c>
      <c r="I6" s="20" t="s">
        <v>60</v>
      </c>
      <c r="J6" s="20" t="s">
        <v>61</v>
      </c>
      <c r="K6" s="20" t="s">
        <v>62</v>
      </c>
    </row>
    <row r="7" spans="1:15" x14ac:dyDescent="0.25">
      <c r="A7" s="7" t="s">
        <v>28</v>
      </c>
      <c r="B7" s="15" t="s">
        <v>29</v>
      </c>
      <c r="C7" s="9">
        <v>3436</v>
      </c>
      <c r="D7" s="8">
        <v>18609</v>
      </c>
      <c r="E7" s="8">
        <v>55</v>
      </c>
      <c r="F7" s="8">
        <v>736</v>
      </c>
      <c r="G7" s="9">
        <v>4856949</v>
      </c>
      <c r="H7" s="8">
        <v>4</v>
      </c>
      <c r="I7" s="21" t="s">
        <v>30</v>
      </c>
      <c r="J7" s="22">
        <v>1</v>
      </c>
      <c r="K7" s="23">
        <v>85.3</v>
      </c>
    </row>
    <row r="8" spans="1:15" x14ac:dyDescent="0.25">
      <c r="A8" s="10" t="s">
        <v>35</v>
      </c>
      <c r="B8" s="11" t="s">
        <v>33</v>
      </c>
      <c r="C8" s="14">
        <v>3351</v>
      </c>
      <c r="D8" s="12">
        <v>36448</v>
      </c>
      <c r="E8" s="12">
        <v>33</v>
      </c>
      <c r="F8" s="12">
        <v>483</v>
      </c>
      <c r="G8" s="14">
        <v>20228640</v>
      </c>
      <c r="H8" s="12">
        <v>5</v>
      </c>
      <c r="I8" s="24" t="s">
        <v>36</v>
      </c>
      <c r="J8" s="25">
        <v>2</v>
      </c>
      <c r="K8" s="26">
        <v>69.2</v>
      </c>
    </row>
    <row r="9" spans="1:15" x14ac:dyDescent="0.25">
      <c r="A9" s="7" t="s">
        <v>13</v>
      </c>
      <c r="B9" s="15" t="s">
        <v>38</v>
      </c>
      <c r="C9" s="9">
        <v>1573</v>
      </c>
      <c r="D9" s="8">
        <v>35223</v>
      </c>
      <c r="E9" s="8">
        <v>34</v>
      </c>
      <c r="F9" s="8">
        <v>430</v>
      </c>
      <c r="G9" s="9">
        <v>25360560</v>
      </c>
      <c r="H9" s="8">
        <v>3</v>
      </c>
      <c r="I9" s="27" t="s">
        <v>36</v>
      </c>
      <c r="J9" s="22">
        <v>3</v>
      </c>
      <c r="K9" s="28">
        <v>65.7</v>
      </c>
    </row>
    <row r="10" spans="1:15" x14ac:dyDescent="0.25">
      <c r="A10" s="10" t="s">
        <v>32</v>
      </c>
      <c r="B10" s="11" t="s">
        <v>33</v>
      </c>
      <c r="C10" s="14">
        <v>2437</v>
      </c>
      <c r="D10" s="12">
        <v>25729</v>
      </c>
      <c r="E10" s="12">
        <v>30</v>
      </c>
      <c r="F10" s="12">
        <v>584</v>
      </c>
      <c r="G10" s="14">
        <v>18730712</v>
      </c>
      <c r="H10" s="12">
        <v>3</v>
      </c>
      <c r="I10" s="29" t="s">
        <v>30</v>
      </c>
      <c r="J10" s="12">
        <v>4</v>
      </c>
      <c r="K10" s="26">
        <v>64.5</v>
      </c>
    </row>
    <row r="11" spans="1:15" x14ac:dyDescent="0.25">
      <c r="A11" s="7" t="s">
        <v>50</v>
      </c>
      <c r="B11" s="15" t="s">
        <v>51</v>
      </c>
      <c r="C11" s="9">
        <v>2027</v>
      </c>
      <c r="D11" s="8">
        <v>33738</v>
      </c>
      <c r="E11" s="8">
        <v>46</v>
      </c>
      <c r="F11" s="8">
        <v>116</v>
      </c>
      <c r="G11" s="9">
        <v>22334556</v>
      </c>
      <c r="H11" s="8">
        <v>5</v>
      </c>
      <c r="I11" s="21" t="s">
        <v>30</v>
      </c>
      <c r="J11" s="8">
        <v>5</v>
      </c>
      <c r="K11" s="28">
        <v>53.6</v>
      </c>
    </row>
    <row r="12" spans="1:15" x14ac:dyDescent="0.25">
      <c r="A12" s="10" t="s">
        <v>40</v>
      </c>
      <c r="B12" s="11" t="s">
        <v>41</v>
      </c>
      <c r="C12" s="14">
        <v>1431</v>
      </c>
      <c r="D12" s="12">
        <v>19089</v>
      </c>
      <c r="E12" s="12">
        <v>32</v>
      </c>
      <c r="F12" s="12">
        <v>429</v>
      </c>
      <c r="G12" s="14">
        <v>10193526</v>
      </c>
      <c r="H12" s="12">
        <v>6</v>
      </c>
      <c r="I12" s="24" t="s">
        <v>36</v>
      </c>
      <c r="J12" s="12">
        <v>6</v>
      </c>
      <c r="K12" s="26">
        <v>50.9</v>
      </c>
    </row>
    <row r="13" spans="1:15" x14ac:dyDescent="0.25">
      <c r="A13" s="7" t="s">
        <v>45</v>
      </c>
      <c r="B13" s="15" t="s">
        <v>41</v>
      </c>
      <c r="C13" s="9">
        <v>2499</v>
      </c>
      <c r="D13" s="8">
        <v>11603</v>
      </c>
      <c r="E13" s="8">
        <v>43</v>
      </c>
      <c r="F13" s="8">
        <v>298</v>
      </c>
      <c r="G13" s="9">
        <v>6462871</v>
      </c>
      <c r="H13" s="8">
        <v>6</v>
      </c>
      <c r="I13" s="27" t="s">
        <v>36</v>
      </c>
      <c r="J13" s="8">
        <v>7</v>
      </c>
      <c r="K13" s="28">
        <v>44.4</v>
      </c>
    </row>
    <row r="14" spans="1:15" x14ac:dyDescent="0.25">
      <c r="A14" s="10" t="s">
        <v>43</v>
      </c>
      <c r="B14" s="11" t="s">
        <v>33</v>
      </c>
      <c r="C14" s="14">
        <v>1025</v>
      </c>
      <c r="D14" s="12">
        <v>11057</v>
      </c>
      <c r="E14" s="12">
        <v>12</v>
      </c>
      <c r="F14" s="12">
        <v>371</v>
      </c>
      <c r="G14" s="14">
        <v>7983154</v>
      </c>
      <c r="H14" s="12">
        <v>4</v>
      </c>
      <c r="I14" s="24" t="s">
        <v>36</v>
      </c>
      <c r="J14" s="12">
        <v>8</v>
      </c>
      <c r="K14" s="30">
        <v>26.8</v>
      </c>
    </row>
    <row r="15" spans="1:15" x14ac:dyDescent="0.25">
      <c r="A15" s="7" t="s">
        <v>47</v>
      </c>
      <c r="B15" s="15" t="s">
        <v>48</v>
      </c>
      <c r="C15" s="9">
        <v>3326</v>
      </c>
      <c r="D15" s="8">
        <v>3197</v>
      </c>
      <c r="E15" s="8">
        <v>23</v>
      </c>
      <c r="F15" s="8">
        <v>271</v>
      </c>
      <c r="G15" s="9">
        <v>792856</v>
      </c>
      <c r="H15" s="8">
        <v>5</v>
      </c>
      <c r="I15" s="27" t="s">
        <v>36</v>
      </c>
      <c r="J15" s="8">
        <v>9</v>
      </c>
      <c r="K15" s="31">
        <v>21.9</v>
      </c>
    </row>
    <row r="16" spans="1:15" x14ac:dyDescent="0.25">
      <c r="A16" s="10" t="s">
        <v>53</v>
      </c>
      <c r="B16" s="11" t="s">
        <v>54</v>
      </c>
      <c r="C16" s="14">
        <v>992</v>
      </c>
      <c r="D16" s="12" t="s">
        <v>63</v>
      </c>
      <c r="E16" s="12">
        <v>30</v>
      </c>
      <c r="F16" s="12">
        <v>81</v>
      </c>
      <c r="G16" s="14">
        <v>8678356</v>
      </c>
      <c r="H16" s="12">
        <v>4</v>
      </c>
      <c r="I16" s="29" t="s">
        <v>30</v>
      </c>
      <c r="J16" s="12">
        <v>10</v>
      </c>
      <c r="K16" s="30">
        <v>12.6</v>
      </c>
    </row>
    <row r="19" spans="1:6" x14ac:dyDescent="0.25">
      <c r="A19" s="65" t="s">
        <v>64</v>
      </c>
      <c r="B19" s="65"/>
      <c r="C19" s="65"/>
      <c r="D19" s="65"/>
      <c r="E19" s="65"/>
      <c r="F19" s="65"/>
    </row>
    <row r="20" spans="1:6" x14ac:dyDescent="0.25">
      <c r="A20" s="3" t="s">
        <v>23</v>
      </c>
      <c r="B20" s="3" t="s">
        <v>65</v>
      </c>
      <c r="C20" s="3" t="s">
        <v>66</v>
      </c>
      <c r="D20" s="3" t="s">
        <v>67</v>
      </c>
      <c r="E20" s="3" t="s">
        <v>57</v>
      </c>
      <c r="F20" s="3" t="s">
        <v>68</v>
      </c>
    </row>
    <row r="21" spans="1:6" x14ac:dyDescent="0.25">
      <c r="A21" s="7" t="s">
        <v>29</v>
      </c>
      <c r="B21" s="8">
        <v>1</v>
      </c>
      <c r="C21" s="8">
        <v>736</v>
      </c>
      <c r="D21" s="32">
        <v>55</v>
      </c>
      <c r="E21" s="9">
        <v>3436</v>
      </c>
      <c r="F21" s="9">
        <v>4856949</v>
      </c>
    </row>
    <row r="22" spans="1:6" x14ac:dyDescent="0.25">
      <c r="A22" s="10" t="s">
        <v>33</v>
      </c>
      <c r="B22" s="12">
        <v>3</v>
      </c>
      <c r="C22" s="12">
        <v>479</v>
      </c>
      <c r="D22" s="33">
        <v>25</v>
      </c>
      <c r="E22" s="14">
        <v>2271</v>
      </c>
      <c r="F22" s="14">
        <v>15647502</v>
      </c>
    </row>
    <row r="23" spans="1:6" x14ac:dyDescent="0.25">
      <c r="A23" s="7" t="s">
        <v>38</v>
      </c>
      <c r="B23" s="8">
        <v>1</v>
      </c>
      <c r="C23" s="8">
        <v>430</v>
      </c>
      <c r="D23" s="32">
        <v>34</v>
      </c>
      <c r="E23" s="9">
        <v>1573</v>
      </c>
      <c r="F23" s="9">
        <v>25360560</v>
      </c>
    </row>
    <row r="24" spans="1:6" x14ac:dyDescent="0.25">
      <c r="A24" s="10" t="s">
        <v>41</v>
      </c>
      <c r="B24" s="12">
        <v>2</v>
      </c>
      <c r="C24" s="12">
        <v>364</v>
      </c>
      <c r="D24" s="33">
        <v>37.5</v>
      </c>
      <c r="E24" s="14">
        <v>1965</v>
      </c>
      <c r="F24" s="14">
        <v>8328198</v>
      </c>
    </row>
    <row r="25" spans="1:6" x14ac:dyDescent="0.25">
      <c r="A25" s="7" t="s">
        <v>48</v>
      </c>
      <c r="B25" s="8">
        <v>1</v>
      </c>
      <c r="C25" s="8">
        <v>271</v>
      </c>
      <c r="D25" s="32">
        <v>23</v>
      </c>
      <c r="E25" s="9">
        <v>3326</v>
      </c>
      <c r="F25" s="9">
        <v>792856</v>
      </c>
    </row>
    <row r="26" spans="1:6" x14ac:dyDescent="0.25">
      <c r="A26" s="10" t="s">
        <v>51</v>
      </c>
      <c r="B26" s="12">
        <v>1</v>
      </c>
      <c r="C26" s="12">
        <v>116</v>
      </c>
      <c r="D26" s="33">
        <v>46</v>
      </c>
      <c r="E26" s="14">
        <v>2027</v>
      </c>
      <c r="F26" s="14">
        <v>22334556</v>
      </c>
    </row>
    <row r="27" spans="1:6" x14ac:dyDescent="0.25">
      <c r="A27" s="7" t="s">
        <v>54</v>
      </c>
      <c r="B27" s="8">
        <v>1</v>
      </c>
      <c r="C27" s="8">
        <v>81</v>
      </c>
      <c r="D27" s="32">
        <v>30</v>
      </c>
      <c r="E27" s="9">
        <v>992</v>
      </c>
      <c r="F27" s="9">
        <v>8678356</v>
      </c>
    </row>
  </sheetData>
  <mergeCells count="3">
    <mergeCell ref="A2:O2"/>
    <mergeCell ref="A5:M5"/>
    <mergeCell ref="A19:F19"/>
  </mergeCells>
  <conditionalFormatting sqref="K7:K16">
    <cfRule type="colorScale" priority="2">
      <colorScale>
        <cfvo type="min"/>
        <cfvo type="percentile" val="50"/>
        <cfvo type="max"/>
        <color rgb="FFFFCDD2"/>
        <color rgb="FFFFF8E1"/>
        <color rgb="FFC8E6C9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95C"/>
  </sheetPr>
  <dimension ref="A1:Q30"/>
  <sheetViews>
    <sheetView showGridLines="0" zoomScaleNormal="100" workbookViewId="0">
      <selection activeCell="P33" sqref="P33"/>
    </sheetView>
  </sheetViews>
  <sheetFormatPr defaultColWidth="8.7109375" defaultRowHeight="15" x14ac:dyDescent="0.25"/>
  <cols>
    <col min="1" max="1" width="28" customWidth="1"/>
    <col min="2" max="2" width="16" customWidth="1"/>
    <col min="3" max="3" width="26.42578125" customWidth="1"/>
    <col min="4" max="4" width="18" customWidth="1"/>
    <col min="5" max="6" width="16" customWidth="1"/>
    <col min="7" max="7" width="14" customWidth="1"/>
    <col min="8" max="8" width="20" customWidth="1"/>
    <col min="9" max="9" width="14" customWidth="1"/>
  </cols>
  <sheetData>
    <row r="1" spans="1:17" ht="6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ht="20.25" x14ac:dyDescent="0.25">
      <c r="A2" s="83" t="s">
        <v>69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</row>
    <row r="3" spans="1:17" ht="6" customHeight="1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5" spans="1:17" x14ac:dyDescent="0.25">
      <c r="A5" s="65" t="s">
        <v>70</v>
      </c>
      <c r="B5" s="65"/>
      <c r="C5" s="65"/>
      <c r="D5" s="65"/>
      <c r="E5" s="65"/>
      <c r="F5" s="65"/>
      <c r="G5" s="65"/>
      <c r="H5" s="65"/>
      <c r="I5" s="65"/>
    </row>
    <row r="6" spans="1:17" ht="27.75" customHeight="1" x14ac:dyDescent="0.25">
      <c r="A6" s="35" t="s">
        <v>71</v>
      </c>
      <c r="B6" s="35" t="s">
        <v>72</v>
      </c>
      <c r="C6" s="35" t="s">
        <v>17</v>
      </c>
      <c r="D6" s="35" t="s">
        <v>18</v>
      </c>
      <c r="E6" s="35" t="s">
        <v>19</v>
      </c>
      <c r="F6" s="35" t="s">
        <v>20</v>
      </c>
      <c r="G6" s="35" t="s">
        <v>57</v>
      </c>
      <c r="H6" s="35" t="s">
        <v>73</v>
      </c>
      <c r="I6" s="35" t="s">
        <v>74</v>
      </c>
    </row>
    <row r="7" spans="1:17" x14ac:dyDescent="0.25">
      <c r="A7" s="7" t="s">
        <v>27</v>
      </c>
      <c r="B7" s="15" t="s">
        <v>75</v>
      </c>
      <c r="C7" s="8">
        <v>13</v>
      </c>
      <c r="D7" s="9">
        <v>1157671210</v>
      </c>
      <c r="E7" s="9">
        <v>89051631</v>
      </c>
      <c r="F7" s="8">
        <v>278481</v>
      </c>
      <c r="G7" s="9">
        <v>2493</v>
      </c>
      <c r="H7" s="9">
        <v>129026094</v>
      </c>
      <c r="I7" s="15" t="s">
        <v>76</v>
      </c>
    </row>
    <row r="8" spans="1:17" x14ac:dyDescent="0.25">
      <c r="A8" s="10" t="s">
        <v>31</v>
      </c>
      <c r="B8" s="11" t="s">
        <v>77</v>
      </c>
      <c r="C8" s="12">
        <v>10</v>
      </c>
      <c r="D8" s="14">
        <v>983612083</v>
      </c>
      <c r="E8" s="14">
        <v>98361208</v>
      </c>
      <c r="F8" s="12">
        <v>230535</v>
      </c>
      <c r="G8" s="14">
        <v>3679</v>
      </c>
      <c r="H8" s="14">
        <v>117682363</v>
      </c>
      <c r="I8" s="11" t="s">
        <v>78</v>
      </c>
    </row>
    <row r="9" spans="1:17" x14ac:dyDescent="0.25">
      <c r="A9" s="7" t="s">
        <v>34</v>
      </c>
      <c r="B9" s="15" t="s">
        <v>79</v>
      </c>
      <c r="C9" s="8">
        <v>13</v>
      </c>
      <c r="D9" s="9">
        <v>924981614</v>
      </c>
      <c r="E9" s="9">
        <v>71152431</v>
      </c>
      <c r="F9" s="8">
        <v>317695</v>
      </c>
      <c r="G9" s="9">
        <v>2862</v>
      </c>
      <c r="H9" s="9">
        <v>142255092</v>
      </c>
      <c r="I9" s="15" t="s">
        <v>80</v>
      </c>
    </row>
    <row r="10" spans="1:17" x14ac:dyDescent="0.25">
      <c r="A10" s="10" t="s">
        <v>37</v>
      </c>
      <c r="B10" s="11" t="s">
        <v>81</v>
      </c>
      <c r="C10" s="12">
        <v>15</v>
      </c>
      <c r="D10" s="14">
        <v>840154210</v>
      </c>
      <c r="E10" s="14">
        <v>56010280</v>
      </c>
      <c r="F10" s="12">
        <v>250011</v>
      </c>
      <c r="G10" s="14">
        <v>2944</v>
      </c>
      <c r="H10" s="14">
        <v>130394665</v>
      </c>
      <c r="I10" s="11" t="s">
        <v>82</v>
      </c>
    </row>
    <row r="11" spans="1:17" x14ac:dyDescent="0.25">
      <c r="A11" s="7" t="s">
        <v>39</v>
      </c>
      <c r="B11" s="15" t="s">
        <v>75</v>
      </c>
      <c r="C11" s="8">
        <v>12</v>
      </c>
      <c r="D11" s="9">
        <v>808366341</v>
      </c>
      <c r="E11" s="9">
        <v>67363861</v>
      </c>
      <c r="F11" s="8">
        <v>199467</v>
      </c>
      <c r="G11" s="9">
        <v>3307</v>
      </c>
      <c r="H11" s="9">
        <v>95040834</v>
      </c>
      <c r="I11" s="15" t="s">
        <v>78</v>
      </c>
    </row>
    <row r="12" spans="1:17" x14ac:dyDescent="0.25">
      <c r="A12" s="10" t="s">
        <v>42</v>
      </c>
      <c r="B12" s="11" t="s">
        <v>79</v>
      </c>
      <c r="C12" s="12">
        <v>9</v>
      </c>
      <c r="D12" s="14">
        <v>613126824</v>
      </c>
      <c r="E12" s="14">
        <v>68125202</v>
      </c>
      <c r="F12" s="12">
        <v>178217</v>
      </c>
      <c r="G12" s="14">
        <v>2971</v>
      </c>
      <c r="H12" s="14">
        <v>83329099</v>
      </c>
      <c r="I12" s="11" t="s">
        <v>80</v>
      </c>
    </row>
    <row r="13" spans="1:17" x14ac:dyDescent="0.25">
      <c r="A13" s="7" t="s">
        <v>44</v>
      </c>
      <c r="B13" s="15" t="s">
        <v>81</v>
      </c>
      <c r="C13" s="8">
        <v>9</v>
      </c>
      <c r="D13" s="9">
        <v>496261813</v>
      </c>
      <c r="E13" s="9">
        <v>55140201</v>
      </c>
      <c r="F13" s="8">
        <v>125413</v>
      </c>
      <c r="G13" s="9">
        <v>3286</v>
      </c>
      <c r="H13" s="9">
        <v>76334596</v>
      </c>
      <c r="I13" s="15" t="s">
        <v>83</v>
      </c>
    </row>
    <row r="14" spans="1:17" x14ac:dyDescent="0.25">
      <c r="A14" s="10" t="s">
        <v>46</v>
      </c>
      <c r="B14" s="11" t="s">
        <v>84</v>
      </c>
      <c r="C14" s="12">
        <v>10</v>
      </c>
      <c r="D14" s="14">
        <v>468868182</v>
      </c>
      <c r="E14" s="14">
        <v>46886818</v>
      </c>
      <c r="F14" s="12">
        <v>159604</v>
      </c>
      <c r="G14" s="14">
        <v>2359</v>
      </c>
      <c r="H14" s="14">
        <v>68680540</v>
      </c>
      <c r="I14" s="11" t="s">
        <v>76</v>
      </c>
    </row>
    <row r="15" spans="1:17" x14ac:dyDescent="0.25">
      <c r="A15" s="7" t="s">
        <v>49</v>
      </c>
      <c r="B15" s="15" t="s">
        <v>75</v>
      </c>
      <c r="C15" s="8">
        <v>7</v>
      </c>
      <c r="D15" s="9">
        <v>430532075</v>
      </c>
      <c r="E15" s="9">
        <v>61504582</v>
      </c>
      <c r="F15" s="8">
        <v>127850</v>
      </c>
      <c r="G15" s="9">
        <v>2643</v>
      </c>
      <c r="H15" s="9">
        <v>68978762</v>
      </c>
      <c r="I15" s="15" t="s">
        <v>85</v>
      </c>
    </row>
    <row r="16" spans="1:17" x14ac:dyDescent="0.25">
      <c r="A16" s="10" t="s">
        <v>52</v>
      </c>
      <c r="B16" s="11" t="s">
        <v>86</v>
      </c>
      <c r="C16" s="12">
        <v>7</v>
      </c>
      <c r="D16" s="14">
        <v>417295881</v>
      </c>
      <c r="E16" s="14">
        <v>59613697</v>
      </c>
      <c r="F16" s="12">
        <v>108618</v>
      </c>
      <c r="G16" s="14">
        <v>2422</v>
      </c>
      <c r="H16" s="14">
        <v>65106464</v>
      </c>
      <c r="I16" s="11" t="s">
        <v>85</v>
      </c>
    </row>
    <row r="19" spans="1:5" x14ac:dyDescent="0.25">
      <c r="A19" s="65" t="s">
        <v>87</v>
      </c>
      <c r="B19" s="65"/>
      <c r="C19" s="65"/>
      <c r="D19" s="65"/>
      <c r="E19" s="65"/>
    </row>
    <row r="20" spans="1:5" x14ac:dyDescent="0.25">
      <c r="A20" s="1" t="s">
        <v>88</v>
      </c>
      <c r="B20" s="1" t="s">
        <v>89</v>
      </c>
      <c r="C20" s="1" t="s">
        <v>18</v>
      </c>
      <c r="D20" s="1" t="s">
        <v>19</v>
      </c>
      <c r="E20" s="1" t="s">
        <v>21</v>
      </c>
    </row>
    <row r="21" spans="1:5" x14ac:dyDescent="0.25">
      <c r="A21" s="7" t="s">
        <v>13</v>
      </c>
      <c r="B21" s="8">
        <v>15</v>
      </c>
      <c r="C21" s="9">
        <v>1179154945</v>
      </c>
      <c r="D21" s="9">
        <v>78610329</v>
      </c>
      <c r="E21" s="8">
        <v>18385</v>
      </c>
    </row>
    <row r="22" spans="1:5" x14ac:dyDescent="0.25">
      <c r="A22" s="10" t="s">
        <v>35</v>
      </c>
      <c r="B22" s="12">
        <v>12</v>
      </c>
      <c r="C22" s="14">
        <v>1012375595</v>
      </c>
      <c r="D22" s="14">
        <v>84364632</v>
      </c>
      <c r="E22" s="12">
        <v>21704</v>
      </c>
    </row>
    <row r="23" spans="1:5" x14ac:dyDescent="0.25">
      <c r="A23" s="7" t="s">
        <v>53</v>
      </c>
      <c r="B23" s="8">
        <v>13</v>
      </c>
      <c r="C23" s="9">
        <v>869414283</v>
      </c>
      <c r="D23" s="9">
        <v>66878021</v>
      </c>
      <c r="E23" s="8">
        <v>14502</v>
      </c>
    </row>
    <row r="24" spans="1:5" x14ac:dyDescent="0.25">
      <c r="A24" s="10" t="s">
        <v>40</v>
      </c>
      <c r="B24" s="12">
        <v>9</v>
      </c>
      <c r="C24" s="14">
        <v>774607880</v>
      </c>
      <c r="D24" s="14">
        <v>86067542</v>
      </c>
      <c r="E24" s="12">
        <v>20687</v>
      </c>
    </row>
    <row r="25" spans="1:5" x14ac:dyDescent="0.25">
      <c r="A25" s="7" t="s">
        <v>47</v>
      </c>
      <c r="B25" s="8">
        <v>10</v>
      </c>
      <c r="C25" s="9">
        <v>707857538</v>
      </c>
      <c r="D25" s="9">
        <v>70785753</v>
      </c>
      <c r="E25" s="8">
        <v>22325</v>
      </c>
    </row>
    <row r="26" spans="1:5" x14ac:dyDescent="0.25">
      <c r="A26" s="10" t="s">
        <v>32</v>
      </c>
      <c r="B26" s="12">
        <v>14</v>
      </c>
      <c r="C26" s="14">
        <v>699015539</v>
      </c>
      <c r="D26" s="14">
        <v>49929681</v>
      </c>
      <c r="E26" s="12">
        <v>14925</v>
      </c>
    </row>
    <row r="27" spans="1:5" x14ac:dyDescent="0.25">
      <c r="A27" s="7" t="s">
        <v>50</v>
      </c>
      <c r="B27" s="8">
        <v>10</v>
      </c>
      <c r="C27" s="9">
        <v>663352017</v>
      </c>
      <c r="D27" s="9">
        <v>66335201</v>
      </c>
      <c r="E27" s="8">
        <v>36343</v>
      </c>
    </row>
    <row r="28" spans="1:5" x14ac:dyDescent="0.25">
      <c r="A28" s="10" t="s">
        <v>43</v>
      </c>
      <c r="B28" s="12">
        <v>10</v>
      </c>
      <c r="C28" s="14">
        <v>658312538</v>
      </c>
      <c r="D28" s="14">
        <v>65831253</v>
      </c>
      <c r="E28" s="12">
        <v>23526</v>
      </c>
    </row>
    <row r="29" spans="1:5" x14ac:dyDescent="0.25">
      <c r="A29" s="7" t="s">
        <v>45</v>
      </c>
      <c r="B29" s="8">
        <v>7</v>
      </c>
      <c r="C29" s="9">
        <v>383661002</v>
      </c>
      <c r="D29" s="9">
        <v>54808714</v>
      </c>
      <c r="E29" s="8">
        <v>19025</v>
      </c>
    </row>
    <row r="30" spans="1:5" x14ac:dyDescent="0.25">
      <c r="A30" s="10" t="s">
        <v>28</v>
      </c>
      <c r="B30" s="12">
        <v>5</v>
      </c>
      <c r="C30" s="14">
        <v>193118896</v>
      </c>
      <c r="D30" s="14">
        <v>38623779</v>
      </c>
      <c r="E30" s="12">
        <v>19525</v>
      </c>
    </row>
  </sheetData>
  <mergeCells count="3">
    <mergeCell ref="A2:Q2"/>
    <mergeCell ref="A5:I5"/>
    <mergeCell ref="A19:E19"/>
  </mergeCells>
  <conditionalFormatting sqref="D7:D16">
    <cfRule type="colorScale" priority="2">
      <colorScale>
        <cfvo type="min"/>
        <cfvo type="percentile" val="50"/>
        <cfvo type="max"/>
        <color rgb="FFFFCDD2"/>
        <color rgb="FFFFF8E1"/>
        <color rgb="FFC8E6C9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</sheetPr>
  <dimension ref="A1:O32"/>
  <sheetViews>
    <sheetView showGridLines="0" zoomScaleNormal="100" workbookViewId="0">
      <selection activeCell="U16" sqref="U16"/>
    </sheetView>
  </sheetViews>
  <sheetFormatPr defaultColWidth="8.7109375" defaultRowHeight="15" x14ac:dyDescent="0.25"/>
  <cols>
    <col min="1" max="1" width="20" customWidth="1"/>
    <col min="2" max="2" width="9" customWidth="1"/>
    <col min="3" max="3" width="18" customWidth="1"/>
    <col min="4" max="5" width="16" customWidth="1"/>
    <col min="6" max="6" width="14" customWidth="1"/>
    <col min="7" max="7" width="12" customWidth="1"/>
  </cols>
  <sheetData>
    <row r="1" spans="1:15" ht="6" customHeight="1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20.25" x14ac:dyDescent="0.25">
      <c r="A2" s="84" t="s">
        <v>90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1:15" ht="6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5" spans="1:15" x14ac:dyDescent="0.25">
      <c r="A5" s="65" t="s">
        <v>91</v>
      </c>
      <c r="B5" s="65"/>
      <c r="C5" s="65"/>
      <c r="D5" s="65"/>
      <c r="E5" s="65"/>
      <c r="F5" s="65"/>
      <c r="G5" s="65"/>
    </row>
    <row r="6" spans="1:15" x14ac:dyDescent="0.25">
      <c r="A6" s="1" t="s">
        <v>72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57</v>
      </c>
      <c r="G6" s="1" t="s">
        <v>61</v>
      </c>
    </row>
    <row r="7" spans="1:15" x14ac:dyDescent="0.25">
      <c r="A7" s="7" t="s">
        <v>81</v>
      </c>
      <c r="B7" s="8">
        <v>17</v>
      </c>
      <c r="C7" s="9">
        <v>1135450904</v>
      </c>
      <c r="D7" s="9">
        <v>66791229</v>
      </c>
      <c r="E7" s="8">
        <v>374481</v>
      </c>
      <c r="F7" s="9">
        <v>2422</v>
      </c>
      <c r="G7" s="37">
        <v>1</v>
      </c>
    </row>
    <row r="8" spans="1:15" x14ac:dyDescent="0.25">
      <c r="A8" s="10" t="s">
        <v>92</v>
      </c>
      <c r="B8" s="12">
        <v>14</v>
      </c>
      <c r="C8" s="14">
        <v>1103867600</v>
      </c>
      <c r="D8" s="14">
        <v>78847685</v>
      </c>
      <c r="E8" s="12">
        <v>284873</v>
      </c>
      <c r="F8" s="14">
        <v>3174</v>
      </c>
      <c r="G8" s="38">
        <v>2</v>
      </c>
    </row>
    <row r="9" spans="1:15" x14ac:dyDescent="0.25">
      <c r="A9" s="7" t="s">
        <v>77</v>
      </c>
      <c r="B9" s="8">
        <v>14</v>
      </c>
      <c r="C9" s="9">
        <v>1057945551</v>
      </c>
      <c r="D9" s="9">
        <v>75567539</v>
      </c>
      <c r="E9" s="8">
        <v>268181</v>
      </c>
      <c r="F9" s="9">
        <v>2663</v>
      </c>
      <c r="G9" s="37">
        <v>3</v>
      </c>
    </row>
    <row r="10" spans="1:15" x14ac:dyDescent="0.25">
      <c r="A10" s="10" t="s">
        <v>75</v>
      </c>
      <c r="B10" s="12">
        <v>12</v>
      </c>
      <c r="C10" s="14">
        <v>937368205</v>
      </c>
      <c r="D10" s="14">
        <v>78114017</v>
      </c>
      <c r="E10" s="12">
        <v>231518</v>
      </c>
      <c r="F10" s="14">
        <v>3865</v>
      </c>
      <c r="G10" s="12">
        <v>4</v>
      </c>
    </row>
    <row r="11" spans="1:15" x14ac:dyDescent="0.25">
      <c r="A11" s="7" t="s">
        <v>84</v>
      </c>
      <c r="B11" s="8">
        <v>8</v>
      </c>
      <c r="C11" s="9">
        <v>704941981</v>
      </c>
      <c r="D11" s="9">
        <v>88117747</v>
      </c>
      <c r="E11" s="8">
        <v>170915</v>
      </c>
      <c r="F11" s="9">
        <v>3452</v>
      </c>
      <c r="G11" s="8">
        <v>5</v>
      </c>
    </row>
    <row r="12" spans="1:15" x14ac:dyDescent="0.25">
      <c r="A12" s="10" t="s">
        <v>93</v>
      </c>
      <c r="B12" s="12">
        <v>10</v>
      </c>
      <c r="C12" s="14">
        <v>633786616</v>
      </c>
      <c r="D12" s="14">
        <v>63378661</v>
      </c>
      <c r="E12" s="12">
        <v>150796</v>
      </c>
      <c r="F12" s="14">
        <v>3903</v>
      </c>
      <c r="G12" s="12">
        <v>6</v>
      </c>
    </row>
    <row r="13" spans="1:15" x14ac:dyDescent="0.25">
      <c r="A13" s="7" t="s">
        <v>79</v>
      </c>
      <c r="B13" s="8">
        <v>9</v>
      </c>
      <c r="C13" s="9">
        <v>633777836</v>
      </c>
      <c r="D13" s="9">
        <v>70419759</v>
      </c>
      <c r="E13" s="8">
        <v>160423</v>
      </c>
      <c r="F13" s="9">
        <v>2720</v>
      </c>
      <c r="G13" s="8">
        <v>7</v>
      </c>
    </row>
    <row r="14" spans="1:15" x14ac:dyDescent="0.25">
      <c r="A14" s="10" t="s">
        <v>94</v>
      </c>
      <c r="B14" s="12">
        <v>9</v>
      </c>
      <c r="C14" s="14">
        <v>387796078</v>
      </c>
      <c r="D14" s="14">
        <v>43088453</v>
      </c>
      <c r="E14" s="12">
        <v>172078</v>
      </c>
      <c r="F14" s="14">
        <v>2067</v>
      </c>
      <c r="G14" s="12">
        <v>8</v>
      </c>
    </row>
    <row r="15" spans="1:15" x14ac:dyDescent="0.25">
      <c r="A15" s="7" t="s">
        <v>95</v>
      </c>
      <c r="B15" s="8">
        <v>7</v>
      </c>
      <c r="C15" s="9">
        <v>374105230</v>
      </c>
      <c r="D15" s="9">
        <v>53443604</v>
      </c>
      <c r="E15" s="8">
        <v>83499</v>
      </c>
      <c r="F15" s="9">
        <v>2724</v>
      </c>
      <c r="G15" s="8">
        <v>9</v>
      </c>
    </row>
    <row r="16" spans="1:15" x14ac:dyDescent="0.25">
      <c r="A16" s="10" t="s">
        <v>86</v>
      </c>
      <c r="B16" s="12">
        <v>5</v>
      </c>
      <c r="C16" s="14">
        <v>171830232</v>
      </c>
      <c r="D16" s="14">
        <v>34366046</v>
      </c>
      <c r="E16" s="12">
        <v>79127</v>
      </c>
      <c r="F16" s="14">
        <v>2490</v>
      </c>
      <c r="G16" s="12">
        <v>10</v>
      </c>
    </row>
    <row r="19" spans="1:4" x14ac:dyDescent="0.25">
      <c r="A19" s="65" t="s">
        <v>96</v>
      </c>
      <c r="B19" s="65"/>
      <c r="C19" s="65"/>
      <c r="D19" s="65"/>
    </row>
    <row r="20" spans="1:4" x14ac:dyDescent="0.25">
      <c r="A20" s="2" t="s">
        <v>97</v>
      </c>
      <c r="B20" s="2" t="s">
        <v>98</v>
      </c>
      <c r="C20" s="2" t="s">
        <v>17</v>
      </c>
      <c r="D20" s="2" t="s">
        <v>18</v>
      </c>
    </row>
    <row r="21" spans="1:4" x14ac:dyDescent="0.25">
      <c r="A21" s="15" t="s">
        <v>85</v>
      </c>
      <c r="B21" s="8">
        <v>1</v>
      </c>
      <c r="C21" s="8">
        <v>10</v>
      </c>
      <c r="D21" s="39">
        <v>653375988</v>
      </c>
    </row>
    <row r="22" spans="1:4" x14ac:dyDescent="0.25">
      <c r="A22" s="11" t="s">
        <v>99</v>
      </c>
      <c r="B22" s="12">
        <v>2</v>
      </c>
      <c r="C22" s="12">
        <v>8</v>
      </c>
      <c r="D22" s="40">
        <v>432852449</v>
      </c>
    </row>
    <row r="23" spans="1:4" x14ac:dyDescent="0.25">
      <c r="A23" s="15" t="s">
        <v>100</v>
      </c>
      <c r="B23" s="8">
        <v>3</v>
      </c>
      <c r="C23" s="8">
        <v>8</v>
      </c>
      <c r="D23" s="39">
        <v>431535924</v>
      </c>
    </row>
    <row r="24" spans="1:4" x14ac:dyDescent="0.25">
      <c r="A24" s="11" t="s">
        <v>101</v>
      </c>
      <c r="B24" s="12">
        <v>4</v>
      </c>
      <c r="C24" s="12">
        <v>9</v>
      </c>
      <c r="D24" s="40">
        <v>468627454</v>
      </c>
    </row>
    <row r="25" spans="1:4" x14ac:dyDescent="0.25">
      <c r="A25" s="15" t="s">
        <v>102</v>
      </c>
      <c r="B25" s="8">
        <v>5</v>
      </c>
      <c r="C25" s="8">
        <v>12</v>
      </c>
      <c r="D25" s="39">
        <v>652762817</v>
      </c>
    </row>
    <row r="26" spans="1:4" x14ac:dyDescent="0.25">
      <c r="A26" s="11" t="s">
        <v>103</v>
      </c>
      <c r="B26" s="12">
        <v>6</v>
      </c>
      <c r="C26" s="12">
        <v>10</v>
      </c>
      <c r="D26" s="40">
        <v>536416537</v>
      </c>
    </row>
    <row r="27" spans="1:4" x14ac:dyDescent="0.25">
      <c r="A27" s="15" t="s">
        <v>78</v>
      </c>
      <c r="B27" s="8">
        <v>7</v>
      </c>
      <c r="C27" s="8">
        <v>7</v>
      </c>
      <c r="D27" s="39">
        <v>726131799</v>
      </c>
    </row>
    <row r="28" spans="1:4" x14ac:dyDescent="0.25">
      <c r="A28" s="11" t="s">
        <v>83</v>
      </c>
      <c r="B28" s="12">
        <v>8</v>
      </c>
      <c r="C28" s="12">
        <v>12</v>
      </c>
      <c r="D28" s="41">
        <v>1073837620</v>
      </c>
    </row>
    <row r="29" spans="1:4" x14ac:dyDescent="0.25">
      <c r="A29" s="15" t="s">
        <v>80</v>
      </c>
      <c r="B29" s="8">
        <v>9</v>
      </c>
      <c r="C29" s="8">
        <v>6</v>
      </c>
      <c r="D29" s="39">
        <v>695359429</v>
      </c>
    </row>
    <row r="30" spans="1:4" x14ac:dyDescent="0.25">
      <c r="A30" s="11" t="s">
        <v>104</v>
      </c>
      <c r="B30" s="12">
        <v>10</v>
      </c>
      <c r="C30" s="12">
        <v>3</v>
      </c>
      <c r="D30" s="42">
        <v>91024006</v>
      </c>
    </row>
    <row r="31" spans="1:4" x14ac:dyDescent="0.25">
      <c r="A31" s="15" t="s">
        <v>82</v>
      </c>
      <c r="B31" s="8">
        <v>11</v>
      </c>
      <c r="C31" s="8">
        <v>7</v>
      </c>
      <c r="D31" s="39">
        <v>482468455</v>
      </c>
    </row>
    <row r="32" spans="1:4" x14ac:dyDescent="0.25">
      <c r="A32" s="11" t="s">
        <v>76</v>
      </c>
      <c r="B32" s="12">
        <v>12</v>
      </c>
      <c r="C32" s="12">
        <v>13</v>
      </c>
      <c r="D32" s="40">
        <v>896477755</v>
      </c>
    </row>
  </sheetData>
  <mergeCells count="3">
    <mergeCell ref="A2:O2"/>
    <mergeCell ref="A5:G5"/>
    <mergeCell ref="A19:D19"/>
  </mergeCells>
  <conditionalFormatting sqref="C7:C16">
    <cfRule type="dataBar" priority="2">
      <dataBar>
        <cfvo type="min"/>
        <cfvo type="max"/>
        <color rgb="FFE65100"/>
      </dataBar>
      <extLst>
        <ext xmlns:x14="http://schemas.microsoft.com/office/spreadsheetml/2009/9/main" uri="{B025F937-C7B1-47D3-B67F-A62EFF666E3E}">
          <x14:id>{55BC6344-E4D6-40CD-BE1C-829AE5B052BF}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BC6344-E4D6-40CD-BE1C-829AE5B052BF}">
            <x14:dataBar axisPosition="none">
              <x14:cfvo type="min"/>
              <x14:cfvo type="max"/>
              <x14:negativeFillColor rgb="FFE65100"/>
            </x14:dataBar>
          </x14:cfRule>
          <xm:sqref>C7:C16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83593"/>
  </sheetPr>
  <dimension ref="A1:O25"/>
  <sheetViews>
    <sheetView showGridLines="0" zoomScaleNormal="100" workbookViewId="0"/>
  </sheetViews>
  <sheetFormatPr defaultColWidth="8.7109375" defaultRowHeight="15" x14ac:dyDescent="0.25"/>
  <cols>
    <col min="1" max="1" width="6" customWidth="1"/>
    <col min="2" max="2" width="60" customWidth="1"/>
    <col min="3" max="5" width="14" customWidth="1"/>
    <col min="6" max="8" width="4" customWidth="1"/>
  </cols>
  <sheetData>
    <row r="1" spans="1:15" ht="6" customHeight="1" x14ac:dyDescent="0.2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0.25" x14ac:dyDescent="0.25">
      <c r="A2" s="93" t="s">
        <v>105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</row>
    <row r="3" spans="1:15" ht="6" customHeight="1" x14ac:dyDescent="0.25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5" spans="1:15" x14ac:dyDescent="0.25">
      <c r="A5" s="65" t="s">
        <v>106</v>
      </c>
      <c r="B5" s="65"/>
      <c r="C5" s="65"/>
      <c r="D5" s="65"/>
      <c r="E5" s="65"/>
    </row>
    <row r="6" spans="1:15" ht="27.75" customHeight="1" x14ac:dyDescent="0.25">
      <c r="A6" s="63" t="s">
        <v>107</v>
      </c>
      <c r="B6" s="63"/>
      <c r="C6" s="63"/>
      <c r="D6" s="63"/>
      <c r="E6" s="63"/>
    </row>
    <row r="7" spans="1:15" ht="27.75" customHeight="1" x14ac:dyDescent="0.25">
      <c r="A7" s="44"/>
      <c r="B7" s="45" t="s">
        <v>108</v>
      </c>
      <c r="C7" s="45" t="s">
        <v>109</v>
      </c>
      <c r="D7" s="45" t="s">
        <v>110</v>
      </c>
      <c r="E7" s="45" t="s">
        <v>111</v>
      </c>
      <c r="F7" s="45" t="s">
        <v>112</v>
      </c>
    </row>
    <row r="8" spans="1:15" x14ac:dyDescent="0.25">
      <c r="A8" s="46" t="s">
        <v>108</v>
      </c>
      <c r="B8" s="47">
        <v>1</v>
      </c>
      <c r="C8" s="48">
        <v>-0.16</v>
      </c>
      <c r="D8" s="48">
        <v>-0.05</v>
      </c>
      <c r="E8" s="49">
        <v>0.03</v>
      </c>
      <c r="F8" s="47">
        <v>0.52</v>
      </c>
    </row>
    <row r="9" spans="1:15" x14ac:dyDescent="0.25">
      <c r="A9" s="46" t="s">
        <v>109</v>
      </c>
      <c r="B9" s="48">
        <v>-0.16</v>
      </c>
      <c r="C9" s="47">
        <v>1</v>
      </c>
      <c r="D9" s="47">
        <v>0.75</v>
      </c>
      <c r="E9" s="48">
        <v>0</v>
      </c>
      <c r="F9" s="49">
        <v>0.5</v>
      </c>
    </row>
    <row r="10" spans="1:15" x14ac:dyDescent="0.25">
      <c r="A10" s="46" t="s">
        <v>110</v>
      </c>
      <c r="B10" s="48">
        <v>-0.05</v>
      </c>
      <c r="C10" s="47">
        <v>0.75</v>
      </c>
      <c r="D10" s="47">
        <v>1</v>
      </c>
      <c r="E10" s="48">
        <v>-0.04</v>
      </c>
      <c r="F10" s="49">
        <v>0.49</v>
      </c>
    </row>
    <row r="11" spans="1:15" x14ac:dyDescent="0.25">
      <c r="A11" s="46" t="s">
        <v>111</v>
      </c>
      <c r="B11" s="49">
        <v>0.03</v>
      </c>
      <c r="C11" s="48">
        <v>0</v>
      </c>
      <c r="D11" s="48">
        <v>-0.04</v>
      </c>
      <c r="E11" s="47">
        <v>1</v>
      </c>
      <c r="F11" s="49">
        <v>0.13</v>
      </c>
    </row>
    <row r="12" spans="1:15" x14ac:dyDescent="0.25">
      <c r="A12" s="46" t="s">
        <v>112</v>
      </c>
      <c r="B12" s="47">
        <v>0.52</v>
      </c>
      <c r="C12" s="49">
        <v>0.5</v>
      </c>
      <c r="D12" s="49">
        <v>0.49</v>
      </c>
      <c r="E12" s="49">
        <v>0.13</v>
      </c>
      <c r="F12" s="47">
        <v>1</v>
      </c>
    </row>
    <row r="15" spans="1:15" x14ac:dyDescent="0.25">
      <c r="A15" s="65" t="s">
        <v>113</v>
      </c>
      <c r="B15" s="65"/>
      <c r="C15" s="65"/>
      <c r="D15" s="65"/>
      <c r="E15" s="65"/>
      <c r="F15" s="65"/>
      <c r="G15" s="65"/>
      <c r="H15" s="65"/>
    </row>
    <row r="16" spans="1:15" ht="21.75" customHeight="1" x14ac:dyDescent="0.25">
      <c r="A16" s="50" t="s">
        <v>114</v>
      </c>
      <c r="B16" s="85" t="s">
        <v>115</v>
      </c>
      <c r="C16" s="85"/>
      <c r="D16" s="85"/>
      <c r="E16" s="85"/>
      <c r="F16" s="85"/>
      <c r="G16" s="85"/>
      <c r="H16" s="85"/>
    </row>
    <row r="17" spans="1:8" ht="21.75" customHeight="1" x14ac:dyDescent="0.25">
      <c r="A17" s="51" t="s">
        <v>116</v>
      </c>
      <c r="B17" s="89" t="s">
        <v>117</v>
      </c>
      <c r="C17" s="89"/>
      <c r="D17" s="89"/>
      <c r="E17" s="89"/>
      <c r="F17" s="89"/>
      <c r="G17" s="89"/>
      <c r="H17" s="89"/>
    </row>
    <row r="18" spans="1:8" ht="21.75" customHeight="1" x14ac:dyDescent="0.25">
      <c r="A18" s="52" t="s">
        <v>118</v>
      </c>
      <c r="B18" s="90" t="s">
        <v>119</v>
      </c>
      <c r="C18" s="90"/>
      <c r="D18" s="90"/>
      <c r="E18" s="90"/>
      <c r="F18" s="90"/>
      <c r="G18" s="90"/>
      <c r="H18" s="90"/>
    </row>
    <row r="19" spans="1:8" ht="21.75" customHeight="1" x14ac:dyDescent="0.25">
      <c r="A19" s="53" t="s">
        <v>120</v>
      </c>
      <c r="B19" s="87" t="s">
        <v>121</v>
      </c>
      <c r="C19" s="87"/>
      <c r="D19" s="87"/>
      <c r="E19" s="87"/>
      <c r="F19" s="87"/>
      <c r="G19" s="87"/>
      <c r="H19" s="87"/>
    </row>
    <row r="20" spans="1:8" ht="21.75" customHeight="1" x14ac:dyDescent="0.25">
      <c r="A20" s="54" t="s">
        <v>122</v>
      </c>
      <c r="B20" s="91" t="s">
        <v>123</v>
      </c>
      <c r="C20" s="91"/>
      <c r="D20" s="91"/>
      <c r="E20" s="91"/>
      <c r="F20" s="91"/>
      <c r="G20" s="91"/>
      <c r="H20" s="91"/>
    </row>
    <row r="21" spans="1:8" ht="21.75" customHeight="1" x14ac:dyDescent="0.25">
      <c r="A21" s="55" t="s">
        <v>124</v>
      </c>
      <c r="B21" s="92" t="s">
        <v>125</v>
      </c>
      <c r="C21" s="92"/>
      <c r="D21" s="92"/>
      <c r="E21" s="92"/>
      <c r="F21" s="92"/>
      <c r="G21" s="92"/>
      <c r="H21" s="92"/>
    </row>
    <row r="22" spans="1:8" ht="21.75" customHeight="1" x14ac:dyDescent="0.25">
      <c r="A22" s="50" t="s">
        <v>126</v>
      </c>
      <c r="B22" s="85" t="s">
        <v>127</v>
      </c>
      <c r="C22" s="85"/>
      <c r="D22" s="85"/>
      <c r="E22" s="85"/>
      <c r="F22" s="85"/>
      <c r="G22" s="85"/>
      <c r="H22" s="85"/>
    </row>
    <row r="23" spans="1:8" ht="21.75" customHeight="1" x14ac:dyDescent="0.25">
      <c r="A23" s="56" t="s">
        <v>128</v>
      </c>
      <c r="B23" s="86" t="s">
        <v>129</v>
      </c>
      <c r="C23" s="86"/>
      <c r="D23" s="86"/>
      <c r="E23" s="86"/>
      <c r="F23" s="86"/>
      <c r="G23" s="86"/>
      <c r="H23" s="86"/>
    </row>
    <row r="24" spans="1:8" ht="21.75" customHeight="1" x14ac:dyDescent="0.25">
      <c r="A24" s="53" t="s">
        <v>130</v>
      </c>
      <c r="B24" s="87" t="s">
        <v>131</v>
      </c>
      <c r="C24" s="87"/>
      <c r="D24" s="87"/>
      <c r="E24" s="87"/>
      <c r="F24" s="87"/>
      <c r="G24" s="87"/>
      <c r="H24" s="87"/>
    </row>
    <row r="25" spans="1:8" ht="21.75" customHeight="1" x14ac:dyDescent="0.25">
      <c r="A25" s="57" t="s">
        <v>132</v>
      </c>
      <c r="B25" s="88" t="s">
        <v>133</v>
      </c>
      <c r="C25" s="88"/>
      <c r="D25" s="88"/>
      <c r="E25" s="88"/>
      <c r="F25" s="88"/>
      <c r="G25" s="88"/>
      <c r="H25" s="88"/>
    </row>
  </sheetData>
  <mergeCells count="14">
    <mergeCell ref="A2:O2"/>
    <mergeCell ref="A5:E5"/>
    <mergeCell ref="A6:E6"/>
    <mergeCell ref="A15:H15"/>
    <mergeCell ref="B16:H16"/>
    <mergeCell ref="B22:H22"/>
    <mergeCell ref="B23:H23"/>
    <mergeCell ref="B24:H24"/>
    <mergeCell ref="B25:H25"/>
    <mergeCell ref="B17:H17"/>
    <mergeCell ref="B18:H18"/>
    <mergeCell ref="B19:H19"/>
    <mergeCell ref="B20:H20"/>
    <mergeCell ref="B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D1457"/>
  </sheetPr>
  <dimension ref="A1:J13"/>
  <sheetViews>
    <sheetView showGridLines="0" tabSelected="1" zoomScaleNormal="100" workbookViewId="0"/>
  </sheetViews>
  <sheetFormatPr defaultColWidth="8.7109375" defaultRowHeight="15" x14ac:dyDescent="0.25"/>
  <cols>
    <col min="1" max="9" width="18" customWidth="1"/>
  </cols>
  <sheetData>
    <row r="1" spans="1:10" ht="6" customHeight="1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</row>
    <row r="2" spans="1:10" ht="16.5" x14ac:dyDescent="0.25">
      <c r="A2" s="94" t="s">
        <v>134</v>
      </c>
      <c r="B2" s="94"/>
      <c r="C2" s="94"/>
      <c r="D2" s="94"/>
      <c r="E2" s="94"/>
      <c r="F2" s="94"/>
      <c r="G2" s="94"/>
      <c r="H2" s="94"/>
      <c r="I2" s="94"/>
      <c r="J2" s="58"/>
    </row>
    <row r="3" spans="1:10" ht="27.75" customHeight="1" x14ac:dyDescent="0.25">
      <c r="A3" s="59" t="s">
        <v>135</v>
      </c>
      <c r="B3" s="59" t="s">
        <v>23</v>
      </c>
      <c r="C3" s="59" t="s">
        <v>136</v>
      </c>
      <c r="D3" s="59" t="s">
        <v>137</v>
      </c>
      <c r="E3" s="59" t="s">
        <v>138</v>
      </c>
      <c r="F3" s="59" t="s">
        <v>139</v>
      </c>
      <c r="G3" s="59" t="s">
        <v>140</v>
      </c>
      <c r="H3" s="59" t="s">
        <v>141</v>
      </c>
      <c r="I3" s="59" t="s">
        <v>142</v>
      </c>
    </row>
    <row r="4" spans="1:10" x14ac:dyDescent="0.25">
      <c r="A4" s="60" t="s">
        <v>50</v>
      </c>
      <c r="B4" s="60" t="s">
        <v>51</v>
      </c>
      <c r="C4" s="60">
        <v>2027</v>
      </c>
      <c r="D4" s="60">
        <v>33738</v>
      </c>
      <c r="E4" s="60">
        <v>46</v>
      </c>
      <c r="F4" s="60">
        <v>116</v>
      </c>
      <c r="G4" s="60">
        <v>22334556</v>
      </c>
      <c r="H4" s="60" t="s">
        <v>30</v>
      </c>
      <c r="I4" s="60" t="s">
        <v>143</v>
      </c>
    </row>
    <row r="5" spans="1:10" x14ac:dyDescent="0.25">
      <c r="A5" s="61" t="s">
        <v>13</v>
      </c>
      <c r="B5" s="61" t="s">
        <v>38</v>
      </c>
      <c r="C5" s="61">
        <v>1573</v>
      </c>
      <c r="D5" s="61">
        <v>35223</v>
      </c>
      <c r="E5" s="61">
        <v>34</v>
      </c>
      <c r="F5" s="61">
        <v>430</v>
      </c>
      <c r="G5" s="61">
        <v>25360560</v>
      </c>
      <c r="H5" s="61" t="s">
        <v>36</v>
      </c>
      <c r="I5" s="61" t="s">
        <v>144</v>
      </c>
    </row>
    <row r="6" spans="1:10" x14ac:dyDescent="0.25">
      <c r="A6" s="60" t="s">
        <v>43</v>
      </c>
      <c r="B6" s="60" t="s">
        <v>33</v>
      </c>
      <c r="C6" s="60">
        <v>1025</v>
      </c>
      <c r="D6" s="60">
        <v>11057</v>
      </c>
      <c r="E6" s="60">
        <v>12</v>
      </c>
      <c r="F6" s="60">
        <v>371</v>
      </c>
      <c r="G6" s="60">
        <v>7983154</v>
      </c>
      <c r="H6" s="60" t="s">
        <v>36</v>
      </c>
      <c r="I6" s="60" t="s">
        <v>145</v>
      </c>
    </row>
    <row r="7" spans="1:10" x14ac:dyDescent="0.25">
      <c r="A7" s="61" t="s">
        <v>32</v>
      </c>
      <c r="B7" s="61" t="s">
        <v>33</v>
      </c>
      <c r="C7" s="61">
        <v>2437</v>
      </c>
      <c r="D7" s="61">
        <v>25729</v>
      </c>
      <c r="E7" s="61">
        <v>30</v>
      </c>
      <c r="F7" s="61">
        <v>584</v>
      </c>
      <c r="G7" s="61">
        <v>18730712</v>
      </c>
      <c r="H7" s="61" t="s">
        <v>30</v>
      </c>
      <c r="I7" s="61" t="s">
        <v>146</v>
      </c>
    </row>
    <row r="8" spans="1:10" x14ac:dyDescent="0.25">
      <c r="A8" s="60" t="s">
        <v>28</v>
      </c>
      <c r="B8" s="60" t="s">
        <v>29</v>
      </c>
      <c r="C8" s="60">
        <v>3436</v>
      </c>
      <c r="D8" s="60">
        <v>18609</v>
      </c>
      <c r="E8" s="60">
        <v>55</v>
      </c>
      <c r="F8" s="60">
        <v>736</v>
      </c>
      <c r="G8" s="60">
        <v>4856949</v>
      </c>
      <c r="H8" s="60" t="s">
        <v>30</v>
      </c>
      <c r="I8" s="60" t="s">
        <v>147</v>
      </c>
    </row>
    <row r="9" spans="1:10" x14ac:dyDescent="0.25">
      <c r="A9" s="61" t="s">
        <v>53</v>
      </c>
      <c r="B9" s="61" t="s">
        <v>54</v>
      </c>
      <c r="C9" s="61">
        <v>992</v>
      </c>
      <c r="D9" s="61"/>
      <c r="E9" s="61">
        <v>30</v>
      </c>
      <c r="F9" s="61">
        <v>81</v>
      </c>
      <c r="G9" s="61">
        <v>8678356</v>
      </c>
      <c r="H9" s="61" t="s">
        <v>30</v>
      </c>
      <c r="I9" s="61" t="s">
        <v>148</v>
      </c>
    </row>
    <row r="10" spans="1:10" x14ac:dyDescent="0.25">
      <c r="A10" s="60" t="s">
        <v>40</v>
      </c>
      <c r="B10" s="60" t="s">
        <v>41</v>
      </c>
      <c r="C10" s="60">
        <v>1431</v>
      </c>
      <c r="D10" s="60">
        <v>19089</v>
      </c>
      <c r="E10" s="60">
        <v>32</v>
      </c>
      <c r="F10" s="60">
        <v>429</v>
      </c>
      <c r="G10" s="60">
        <v>10193526</v>
      </c>
      <c r="H10" s="60" t="s">
        <v>36</v>
      </c>
      <c r="I10" s="60" t="s">
        <v>149</v>
      </c>
    </row>
    <row r="11" spans="1:10" x14ac:dyDescent="0.25">
      <c r="A11" s="61" t="s">
        <v>45</v>
      </c>
      <c r="B11" s="61" t="s">
        <v>41</v>
      </c>
      <c r="C11" s="61">
        <v>2499</v>
      </c>
      <c r="D11" s="61">
        <v>11603</v>
      </c>
      <c r="E11" s="61">
        <v>43</v>
      </c>
      <c r="F11" s="61">
        <v>298</v>
      </c>
      <c r="G11" s="61">
        <v>6462871</v>
      </c>
      <c r="H11" s="61" t="s">
        <v>36</v>
      </c>
      <c r="I11" s="61" t="s">
        <v>150</v>
      </c>
    </row>
    <row r="12" spans="1:10" x14ac:dyDescent="0.25">
      <c r="A12" s="60" t="s">
        <v>35</v>
      </c>
      <c r="B12" s="60" t="s">
        <v>33</v>
      </c>
      <c r="C12" s="60">
        <v>3351</v>
      </c>
      <c r="D12" s="60">
        <v>36448</v>
      </c>
      <c r="E12" s="60">
        <v>33</v>
      </c>
      <c r="F12" s="60">
        <v>483</v>
      </c>
      <c r="G12" s="60">
        <v>20228640</v>
      </c>
      <c r="H12" s="60" t="s">
        <v>36</v>
      </c>
      <c r="I12" s="60" t="s">
        <v>151</v>
      </c>
    </row>
    <row r="13" spans="1:10" x14ac:dyDescent="0.25">
      <c r="A13" s="61" t="s">
        <v>47</v>
      </c>
      <c r="B13" s="61" t="s">
        <v>48</v>
      </c>
      <c r="C13" s="61">
        <v>3326</v>
      </c>
      <c r="D13" s="61">
        <v>3197</v>
      </c>
      <c r="E13" s="61">
        <v>23</v>
      </c>
      <c r="F13" s="61">
        <v>271</v>
      </c>
      <c r="G13" s="61">
        <v>792856</v>
      </c>
      <c r="H13" s="61" t="s">
        <v>36</v>
      </c>
      <c r="I13" s="61" t="s">
        <v>152</v>
      </c>
    </row>
  </sheetData>
  <mergeCells count="1"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695C"/>
  </sheetPr>
  <dimension ref="A1:K108"/>
  <sheetViews>
    <sheetView showGridLines="0" zoomScaleNormal="100" workbookViewId="0"/>
  </sheetViews>
  <sheetFormatPr defaultColWidth="8.7109375" defaultRowHeight="15" x14ac:dyDescent="0.25"/>
  <cols>
    <col min="1" max="10" width="18" customWidth="1"/>
  </cols>
  <sheetData>
    <row r="1" spans="1:11" ht="6" customHeight="1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6.5" x14ac:dyDescent="0.25">
      <c r="A2" s="94" t="s">
        <v>153</v>
      </c>
      <c r="B2" s="94"/>
      <c r="C2" s="94"/>
      <c r="D2" s="94"/>
      <c r="E2" s="94"/>
      <c r="F2" s="94"/>
      <c r="G2" s="94"/>
      <c r="H2" s="94"/>
      <c r="I2" s="94"/>
      <c r="J2" s="94"/>
      <c r="K2" s="58"/>
    </row>
    <row r="3" spans="1:11" ht="27.75" customHeight="1" x14ac:dyDescent="0.25">
      <c r="A3" s="59" t="s">
        <v>154</v>
      </c>
      <c r="B3" s="59" t="s">
        <v>72</v>
      </c>
      <c r="C3" s="59" t="s">
        <v>155</v>
      </c>
      <c r="D3" s="59" t="s">
        <v>156</v>
      </c>
      <c r="E3" s="59" t="s">
        <v>157</v>
      </c>
      <c r="F3" s="59" t="s">
        <v>158</v>
      </c>
      <c r="G3" s="59" t="s">
        <v>159</v>
      </c>
      <c r="H3" s="59" t="s">
        <v>160</v>
      </c>
      <c r="I3" s="59" t="s">
        <v>161</v>
      </c>
      <c r="J3" s="59" t="s">
        <v>97</v>
      </c>
    </row>
    <row r="4" spans="1:11" x14ac:dyDescent="0.25">
      <c r="A4" s="60" t="s">
        <v>34</v>
      </c>
      <c r="B4" s="60" t="s">
        <v>79</v>
      </c>
      <c r="C4" s="60" t="s">
        <v>162</v>
      </c>
      <c r="D4" s="60" t="s">
        <v>35</v>
      </c>
      <c r="E4" s="60">
        <v>1253</v>
      </c>
      <c r="F4" s="60">
        <v>6166</v>
      </c>
      <c r="G4" s="60">
        <v>1942290</v>
      </c>
      <c r="H4" s="60">
        <v>3680408</v>
      </c>
      <c r="I4" s="60">
        <v>13348696</v>
      </c>
      <c r="J4" s="60" t="s">
        <v>85</v>
      </c>
    </row>
    <row r="5" spans="1:11" x14ac:dyDescent="0.25">
      <c r="A5" s="61" t="s">
        <v>27</v>
      </c>
      <c r="B5" s="61" t="s">
        <v>75</v>
      </c>
      <c r="C5" s="61" t="s">
        <v>163</v>
      </c>
      <c r="D5" s="61" t="s">
        <v>13</v>
      </c>
      <c r="E5" s="61">
        <v>1689</v>
      </c>
      <c r="F5" s="61">
        <v>40643</v>
      </c>
      <c r="G5" s="61">
        <v>16622987</v>
      </c>
      <c r="H5" s="61">
        <v>2589481</v>
      </c>
      <c r="I5" s="61">
        <v>87858495</v>
      </c>
      <c r="J5" s="61" t="s">
        <v>101</v>
      </c>
    </row>
    <row r="6" spans="1:11" x14ac:dyDescent="0.25">
      <c r="A6" s="60" t="s">
        <v>34</v>
      </c>
      <c r="B6" s="60" t="s">
        <v>93</v>
      </c>
      <c r="C6" s="60" t="s">
        <v>164</v>
      </c>
      <c r="D6" s="60" t="s">
        <v>53</v>
      </c>
      <c r="E6" s="60">
        <v>6813.8</v>
      </c>
      <c r="F6" s="60">
        <v>17889.900000000001</v>
      </c>
      <c r="G6" s="60">
        <v>7667100</v>
      </c>
      <c r="H6" s="60">
        <v>640053</v>
      </c>
      <c r="I6" s="60">
        <v>132693072</v>
      </c>
      <c r="J6" s="60" t="s">
        <v>80</v>
      </c>
    </row>
    <row r="7" spans="1:11" x14ac:dyDescent="0.25">
      <c r="A7" s="61" t="s">
        <v>44</v>
      </c>
      <c r="B7" s="61" t="s">
        <v>81</v>
      </c>
      <c r="C7" s="61" t="s">
        <v>165</v>
      </c>
      <c r="D7" s="61" t="s">
        <v>13</v>
      </c>
      <c r="E7" s="61">
        <v>2144</v>
      </c>
      <c r="F7" s="61">
        <v>14688</v>
      </c>
      <c r="G7" s="61">
        <v>2350080</v>
      </c>
      <c r="H7" s="61">
        <v>2712686</v>
      </c>
      <c r="I7" s="61">
        <v>36553838</v>
      </c>
      <c r="J7" s="61" t="s">
        <v>100</v>
      </c>
    </row>
    <row r="8" spans="1:11" x14ac:dyDescent="0.25">
      <c r="A8" s="60" t="s">
        <v>31</v>
      </c>
      <c r="B8" s="60" t="s">
        <v>77</v>
      </c>
      <c r="C8" s="60" t="s">
        <v>166</v>
      </c>
      <c r="D8" s="60" t="s">
        <v>32</v>
      </c>
      <c r="E8" s="60">
        <v>1886</v>
      </c>
      <c r="F8" s="60">
        <v>35244</v>
      </c>
      <c r="G8" s="60">
        <v>6132456</v>
      </c>
      <c r="H8" s="60">
        <v>1181193</v>
      </c>
      <c r="I8" s="60">
        <v>73783833</v>
      </c>
      <c r="J8" s="60" t="s">
        <v>103</v>
      </c>
    </row>
    <row r="9" spans="1:11" x14ac:dyDescent="0.25">
      <c r="A9" s="61" t="s">
        <v>27</v>
      </c>
      <c r="B9" s="61" t="s">
        <v>92</v>
      </c>
      <c r="C9" s="61" t="s">
        <v>167</v>
      </c>
      <c r="D9" s="61" t="s">
        <v>43</v>
      </c>
      <c r="E9" s="61">
        <v>3984</v>
      </c>
      <c r="F9" s="61"/>
      <c r="G9" s="61">
        <v>2252122</v>
      </c>
      <c r="H9" s="61">
        <v>2302603</v>
      </c>
      <c r="I9" s="61">
        <v>58605653</v>
      </c>
      <c r="J9" s="61" t="s">
        <v>102</v>
      </c>
    </row>
    <row r="10" spans="1:11" x14ac:dyDescent="0.25">
      <c r="A10" s="60" t="s">
        <v>27</v>
      </c>
      <c r="B10" s="60" t="s">
        <v>81</v>
      </c>
      <c r="C10" s="60" t="s">
        <v>168</v>
      </c>
      <c r="D10" s="60" t="s">
        <v>53</v>
      </c>
      <c r="E10" s="60"/>
      <c r="F10" s="60">
        <v>18778.2</v>
      </c>
      <c r="G10" s="60">
        <v>4828680</v>
      </c>
      <c r="H10" s="60">
        <v>4948076</v>
      </c>
      <c r="I10" s="60">
        <v>111635078</v>
      </c>
      <c r="J10" s="60" t="s">
        <v>100</v>
      </c>
    </row>
    <row r="11" spans="1:11" x14ac:dyDescent="0.25">
      <c r="A11" s="61" t="s">
        <v>34</v>
      </c>
      <c r="B11" s="61" t="s">
        <v>77</v>
      </c>
      <c r="C11" s="61" t="s">
        <v>169</v>
      </c>
      <c r="D11" s="61" t="s">
        <v>35</v>
      </c>
      <c r="E11" s="61">
        <v>840</v>
      </c>
      <c r="F11" s="61">
        <v>33535</v>
      </c>
      <c r="G11" s="61">
        <v>12206740</v>
      </c>
      <c r="H11" s="61">
        <v>1201595</v>
      </c>
      <c r="I11" s="61">
        <v>41577735</v>
      </c>
      <c r="J11" s="61" t="s">
        <v>103</v>
      </c>
    </row>
    <row r="12" spans="1:11" x14ac:dyDescent="0.25">
      <c r="A12" s="60" t="s">
        <v>39</v>
      </c>
      <c r="B12" s="60" t="s">
        <v>75</v>
      </c>
      <c r="C12" s="60" t="s">
        <v>170</v>
      </c>
      <c r="D12" s="60" t="s">
        <v>47</v>
      </c>
      <c r="E12" s="60">
        <v>4191</v>
      </c>
      <c r="F12" s="60"/>
      <c r="G12" s="60">
        <v>4279770</v>
      </c>
      <c r="H12" s="60">
        <v>3427104</v>
      </c>
      <c r="I12" s="60">
        <v>81824709</v>
      </c>
      <c r="J12" s="60" t="s">
        <v>102</v>
      </c>
    </row>
    <row r="13" spans="1:11" x14ac:dyDescent="0.25">
      <c r="A13" s="61" t="s">
        <v>42</v>
      </c>
      <c r="B13" s="61" t="s">
        <v>79</v>
      </c>
      <c r="C13" s="61" t="s">
        <v>171</v>
      </c>
      <c r="D13" s="61" t="s">
        <v>13</v>
      </c>
      <c r="E13" s="61">
        <v>1823</v>
      </c>
      <c r="F13" s="61">
        <v>15513</v>
      </c>
      <c r="G13" s="61">
        <v>7539318</v>
      </c>
      <c r="H13" s="61">
        <v>3948781</v>
      </c>
      <c r="I13" s="61">
        <v>39768298</v>
      </c>
      <c r="J13" s="61" t="s">
        <v>85</v>
      </c>
    </row>
    <row r="14" spans="1:11" x14ac:dyDescent="0.25">
      <c r="A14" s="60" t="s">
        <v>31</v>
      </c>
      <c r="B14" s="60" t="s">
        <v>92</v>
      </c>
      <c r="C14" s="60" t="s">
        <v>169</v>
      </c>
      <c r="D14" s="60" t="s">
        <v>40</v>
      </c>
      <c r="E14" s="60">
        <v>3953.6</v>
      </c>
      <c r="F14" s="60">
        <v>21693</v>
      </c>
      <c r="G14" s="60">
        <v>9306297</v>
      </c>
      <c r="H14" s="60">
        <v>4798020</v>
      </c>
      <c r="I14" s="60">
        <v>75365349</v>
      </c>
      <c r="J14" s="60" t="s">
        <v>103</v>
      </c>
    </row>
    <row r="15" spans="1:11" x14ac:dyDescent="0.25">
      <c r="A15" s="61" t="s">
        <v>37</v>
      </c>
      <c r="B15" s="61" t="s">
        <v>81</v>
      </c>
      <c r="C15" s="61" t="s">
        <v>172</v>
      </c>
      <c r="D15" s="61" t="s">
        <v>47</v>
      </c>
      <c r="E15" s="61">
        <v>2842</v>
      </c>
      <c r="F15" s="61">
        <v>24021</v>
      </c>
      <c r="G15" s="61">
        <v>5020389</v>
      </c>
      <c r="H15" s="61">
        <v>2851905</v>
      </c>
      <c r="I15" s="61">
        <v>76139976</v>
      </c>
      <c r="J15" s="61" t="s">
        <v>76</v>
      </c>
    </row>
    <row r="16" spans="1:11" x14ac:dyDescent="0.25">
      <c r="A16" s="60" t="s">
        <v>46</v>
      </c>
      <c r="B16" s="60" t="s">
        <v>84</v>
      </c>
      <c r="C16" s="60" t="s">
        <v>173</v>
      </c>
      <c r="D16" s="60" t="s">
        <v>50</v>
      </c>
      <c r="E16" s="60">
        <v>528</v>
      </c>
      <c r="F16" s="60">
        <v>33241</v>
      </c>
      <c r="G16" s="60">
        <v>2659280</v>
      </c>
      <c r="H16" s="60">
        <v>3167786</v>
      </c>
      <c r="I16" s="60">
        <v>19328026</v>
      </c>
      <c r="J16" s="60" t="s">
        <v>102</v>
      </c>
    </row>
    <row r="17" spans="1:10" x14ac:dyDescent="0.25">
      <c r="A17" s="61" t="s">
        <v>52</v>
      </c>
      <c r="B17" s="61" t="s">
        <v>86</v>
      </c>
      <c r="C17" s="61" t="s">
        <v>174</v>
      </c>
      <c r="D17" s="61" t="s">
        <v>45</v>
      </c>
      <c r="E17" s="61">
        <v>1543</v>
      </c>
      <c r="F17" s="61">
        <v>19867</v>
      </c>
      <c r="G17" s="61">
        <v>2821114</v>
      </c>
      <c r="H17" s="61">
        <v>2897760</v>
      </c>
      <c r="I17" s="61">
        <v>36373655</v>
      </c>
      <c r="J17" s="61" t="s">
        <v>76</v>
      </c>
    </row>
    <row r="18" spans="1:10" x14ac:dyDescent="0.25">
      <c r="A18" s="60" t="s">
        <v>31</v>
      </c>
      <c r="B18" s="60" t="s">
        <v>95</v>
      </c>
      <c r="C18" s="60" t="s">
        <v>175</v>
      </c>
      <c r="D18" s="60" t="s">
        <v>47</v>
      </c>
      <c r="E18" s="60">
        <v>2188</v>
      </c>
      <c r="F18" s="60">
        <v>20603</v>
      </c>
      <c r="G18" s="60">
        <v>9559792</v>
      </c>
      <c r="H18" s="60">
        <v>4600450</v>
      </c>
      <c r="I18" s="60">
        <v>59239606</v>
      </c>
      <c r="J18" s="60" t="s">
        <v>99</v>
      </c>
    </row>
    <row r="19" spans="1:10" x14ac:dyDescent="0.25">
      <c r="A19" s="61" t="s">
        <v>44</v>
      </c>
      <c r="B19" s="61" t="s">
        <v>79</v>
      </c>
      <c r="C19" s="61" t="s">
        <v>176</v>
      </c>
      <c r="D19" s="61" t="s">
        <v>53</v>
      </c>
      <c r="E19" s="61">
        <v>2217.6</v>
      </c>
      <c r="F19" s="61">
        <v>9504.6</v>
      </c>
      <c r="G19" s="61">
        <v>5892852</v>
      </c>
      <c r="H19" s="61">
        <v>795307</v>
      </c>
      <c r="I19" s="61">
        <v>28195711</v>
      </c>
      <c r="J19" s="61" t="s">
        <v>104</v>
      </c>
    </row>
    <row r="20" spans="1:10" x14ac:dyDescent="0.25">
      <c r="A20" s="60" t="s">
        <v>42</v>
      </c>
      <c r="B20" s="60" t="s">
        <v>75</v>
      </c>
      <c r="C20" s="60" t="s">
        <v>177</v>
      </c>
      <c r="D20" s="60" t="s">
        <v>53</v>
      </c>
      <c r="E20" s="60">
        <v>5397</v>
      </c>
      <c r="F20" s="60">
        <v>9158.1</v>
      </c>
      <c r="G20" s="60">
        <v>1687707</v>
      </c>
      <c r="H20" s="60">
        <v>2188470</v>
      </c>
      <c r="I20" s="60">
        <v>54311142</v>
      </c>
      <c r="J20" s="60" t="s">
        <v>103</v>
      </c>
    </row>
    <row r="21" spans="1:10" x14ac:dyDescent="0.25">
      <c r="A21" s="61" t="s">
        <v>27</v>
      </c>
      <c r="B21" s="61" t="s">
        <v>84</v>
      </c>
      <c r="C21" s="61" t="s">
        <v>178</v>
      </c>
      <c r="D21" s="61" t="s">
        <v>28</v>
      </c>
      <c r="E21" s="61">
        <v>1601.6</v>
      </c>
      <c r="F21" s="61">
        <v>11790</v>
      </c>
      <c r="G21" s="61">
        <v>3030030</v>
      </c>
      <c r="H21" s="61">
        <v>3635278</v>
      </c>
      <c r="I21" s="61">
        <v>20153068</v>
      </c>
      <c r="J21" s="61" t="s">
        <v>101</v>
      </c>
    </row>
    <row r="22" spans="1:10" x14ac:dyDescent="0.25">
      <c r="A22" s="60" t="s">
        <v>27</v>
      </c>
      <c r="B22" s="60" t="s">
        <v>75</v>
      </c>
      <c r="C22" s="60" t="s">
        <v>179</v>
      </c>
      <c r="D22" s="60" t="s">
        <v>47</v>
      </c>
      <c r="E22" s="60">
        <v>4564</v>
      </c>
      <c r="F22" s="60">
        <v>31755</v>
      </c>
      <c r="G22" s="60">
        <v>6890835</v>
      </c>
      <c r="H22" s="60">
        <v>4732974</v>
      </c>
      <c r="I22" s="60">
        <v>156553629</v>
      </c>
      <c r="J22" s="60" t="s">
        <v>83</v>
      </c>
    </row>
    <row r="23" spans="1:10" x14ac:dyDescent="0.25">
      <c r="A23" s="61" t="s">
        <v>37</v>
      </c>
      <c r="B23" s="61" t="s">
        <v>77</v>
      </c>
      <c r="C23" s="61" t="s">
        <v>180</v>
      </c>
      <c r="D23" s="61" t="s">
        <v>53</v>
      </c>
      <c r="E23" s="61">
        <v>3350.2</v>
      </c>
      <c r="F23" s="61">
        <v>2975.7</v>
      </c>
      <c r="G23" s="61">
        <v>1041495</v>
      </c>
      <c r="H23" s="61">
        <v>3001940</v>
      </c>
      <c r="I23" s="61">
        <v>14216078</v>
      </c>
      <c r="J23" s="61" t="s">
        <v>76</v>
      </c>
    </row>
    <row r="24" spans="1:10" x14ac:dyDescent="0.25">
      <c r="A24" s="60" t="s">
        <v>37</v>
      </c>
      <c r="B24" s="60" t="s">
        <v>75</v>
      </c>
      <c r="C24" s="60" t="s">
        <v>181</v>
      </c>
      <c r="D24" s="60" t="s">
        <v>35</v>
      </c>
      <c r="E24" s="60">
        <v>4045</v>
      </c>
      <c r="F24" s="60">
        <v>27719</v>
      </c>
      <c r="G24" s="60">
        <v>7539568</v>
      </c>
      <c r="H24" s="60">
        <v>4670910</v>
      </c>
      <c r="I24" s="60">
        <v>124333833</v>
      </c>
      <c r="J24" s="60" t="s">
        <v>103</v>
      </c>
    </row>
    <row r="25" spans="1:10" x14ac:dyDescent="0.25">
      <c r="A25" s="61" t="s">
        <v>37</v>
      </c>
      <c r="B25" s="61" t="s">
        <v>93</v>
      </c>
      <c r="C25" s="61" t="s">
        <v>182</v>
      </c>
      <c r="D25" s="61" t="s">
        <v>32</v>
      </c>
      <c r="E25" s="61">
        <v>1008</v>
      </c>
      <c r="F25" s="61">
        <v>21142</v>
      </c>
      <c r="G25" s="61">
        <v>2558182</v>
      </c>
      <c r="H25" s="61">
        <v>1632574</v>
      </c>
      <c r="I25" s="61">
        <v>25501892</v>
      </c>
      <c r="J25" s="61" t="s">
        <v>102</v>
      </c>
    </row>
    <row r="26" spans="1:10" x14ac:dyDescent="0.25">
      <c r="A26" s="60" t="s">
        <v>34</v>
      </c>
      <c r="B26" s="60" t="s">
        <v>94</v>
      </c>
      <c r="C26" s="60" t="s">
        <v>183</v>
      </c>
      <c r="D26" s="60" t="s">
        <v>45</v>
      </c>
      <c r="E26" s="60">
        <v>2334</v>
      </c>
      <c r="F26" s="60">
        <v>16842</v>
      </c>
      <c r="G26" s="60">
        <v>6905220</v>
      </c>
      <c r="H26" s="60">
        <v>1067015</v>
      </c>
      <c r="I26" s="60">
        <v>47281463</v>
      </c>
      <c r="J26" s="60" t="s">
        <v>78</v>
      </c>
    </row>
    <row r="27" spans="1:10" x14ac:dyDescent="0.25">
      <c r="A27" s="61" t="s">
        <v>49</v>
      </c>
      <c r="B27" s="61" t="s">
        <v>75</v>
      </c>
      <c r="C27" s="61" t="s">
        <v>184</v>
      </c>
      <c r="D27" s="61" t="s">
        <v>50</v>
      </c>
      <c r="E27" s="61"/>
      <c r="F27" s="61">
        <v>14456</v>
      </c>
      <c r="G27" s="61">
        <v>4603680</v>
      </c>
      <c r="H27" s="61">
        <v>2403962</v>
      </c>
      <c r="I27" s="61">
        <v>41090442</v>
      </c>
      <c r="J27" s="61" t="s">
        <v>85</v>
      </c>
    </row>
    <row r="28" spans="1:10" x14ac:dyDescent="0.25">
      <c r="A28" s="60" t="s">
        <v>52</v>
      </c>
      <c r="B28" s="60" t="s">
        <v>95</v>
      </c>
      <c r="C28" s="60" t="s">
        <v>185</v>
      </c>
      <c r="D28" s="60" t="s">
        <v>35</v>
      </c>
      <c r="E28" s="60">
        <v>3977</v>
      </c>
      <c r="F28" s="60">
        <v>25243</v>
      </c>
      <c r="G28" s="60">
        <v>9238938</v>
      </c>
      <c r="H28" s="60">
        <v>4689343</v>
      </c>
      <c r="I28" s="60">
        <v>114319692</v>
      </c>
      <c r="J28" s="60" t="s">
        <v>102</v>
      </c>
    </row>
    <row r="29" spans="1:10" x14ac:dyDescent="0.25">
      <c r="A29" s="61" t="s">
        <v>37</v>
      </c>
      <c r="B29" s="61" t="s">
        <v>92</v>
      </c>
      <c r="C29" s="61" t="s">
        <v>186</v>
      </c>
      <c r="D29" s="61" t="s">
        <v>13</v>
      </c>
      <c r="E29" s="61">
        <v>3449</v>
      </c>
      <c r="F29" s="61">
        <v>13539</v>
      </c>
      <c r="G29" s="61">
        <v>5672841</v>
      </c>
      <c r="H29" s="61">
        <v>3471436</v>
      </c>
      <c r="I29" s="61">
        <v>55840288</v>
      </c>
      <c r="J29" s="61" t="s">
        <v>101</v>
      </c>
    </row>
    <row r="30" spans="1:10" x14ac:dyDescent="0.25">
      <c r="A30" s="60" t="s">
        <v>31</v>
      </c>
      <c r="B30" s="60" t="s">
        <v>84</v>
      </c>
      <c r="C30" s="60" t="s">
        <v>187</v>
      </c>
      <c r="D30" s="60" t="s">
        <v>35</v>
      </c>
      <c r="E30" s="60">
        <v>3668</v>
      </c>
      <c r="F30" s="60">
        <v>36462</v>
      </c>
      <c r="G30" s="60">
        <v>5250528</v>
      </c>
      <c r="H30" s="60">
        <v>2377592</v>
      </c>
      <c r="I30" s="60">
        <v>141370736</v>
      </c>
      <c r="J30" s="60" t="s">
        <v>85</v>
      </c>
    </row>
    <row r="31" spans="1:10" x14ac:dyDescent="0.25">
      <c r="A31" s="61" t="s">
        <v>34</v>
      </c>
      <c r="B31" s="61" t="s">
        <v>81</v>
      </c>
      <c r="C31" s="61" t="s">
        <v>188</v>
      </c>
      <c r="D31" s="61" t="s">
        <v>35</v>
      </c>
      <c r="E31" s="61">
        <v>3279</v>
      </c>
      <c r="F31" s="61">
        <v>32540</v>
      </c>
      <c r="G31" s="61">
        <v>13341400</v>
      </c>
      <c r="H31" s="61">
        <v>2840750</v>
      </c>
      <c r="I31" s="61">
        <v>122880810</v>
      </c>
      <c r="J31" s="61" t="s">
        <v>80</v>
      </c>
    </row>
    <row r="32" spans="1:10" x14ac:dyDescent="0.25">
      <c r="A32" s="60" t="s">
        <v>34</v>
      </c>
      <c r="B32" s="60" t="s">
        <v>95</v>
      </c>
      <c r="C32" s="60" t="s">
        <v>189</v>
      </c>
      <c r="D32" s="60" t="s">
        <v>13</v>
      </c>
      <c r="E32" s="60">
        <v>2948</v>
      </c>
      <c r="F32" s="60">
        <v>9316</v>
      </c>
      <c r="G32" s="60">
        <v>1266976</v>
      </c>
      <c r="H32" s="60">
        <v>2704822</v>
      </c>
      <c r="I32" s="60">
        <v>31435366</v>
      </c>
      <c r="J32" s="60" t="s">
        <v>76</v>
      </c>
    </row>
    <row r="33" spans="1:10" x14ac:dyDescent="0.25">
      <c r="A33" s="61" t="s">
        <v>34</v>
      </c>
      <c r="B33" s="61" t="s">
        <v>75</v>
      </c>
      <c r="C33" s="61" t="s">
        <v>190</v>
      </c>
      <c r="D33" s="61" t="s">
        <v>40</v>
      </c>
      <c r="E33" s="61">
        <v>2749.6</v>
      </c>
      <c r="F33" s="61">
        <v>17172</v>
      </c>
      <c r="G33" s="61">
        <v>7830432</v>
      </c>
      <c r="H33" s="61">
        <v>3956927</v>
      </c>
      <c r="I33" s="61">
        <v>45513167</v>
      </c>
      <c r="J33" s="61" t="s">
        <v>76</v>
      </c>
    </row>
    <row r="34" spans="1:10" x14ac:dyDescent="0.25">
      <c r="A34" s="60" t="s">
        <v>27</v>
      </c>
      <c r="B34" s="60" t="s">
        <v>93</v>
      </c>
      <c r="C34" s="60" t="s">
        <v>191</v>
      </c>
      <c r="D34" s="60" t="s">
        <v>13</v>
      </c>
      <c r="E34" s="60"/>
      <c r="F34" s="60">
        <v>16737</v>
      </c>
      <c r="G34" s="60">
        <v>6276375</v>
      </c>
      <c r="H34" s="60">
        <v>2726932</v>
      </c>
      <c r="I34" s="60">
        <v>85424449</v>
      </c>
      <c r="J34" s="60" t="s">
        <v>101</v>
      </c>
    </row>
    <row r="35" spans="1:10" x14ac:dyDescent="0.25">
      <c r="A35" s="61" t="s">
        <v>34</v>
      </c>
      <c r="B35" s="61" t="s">
        <v>94</v>
      </c>
      <c r="C35" s="61" t="s">
        <v>192</v>
      </c>
      <c r="D35" s="61" t="s">
        <v>47</v>
      </c>
      <c r="E35" s="61">
        <v>632</v>
      </c>
      <c r="F35" s="61">
        <v>35304</v>
      </c>
      <c r="G35" s="61">
        <v>10379376</v>
      </c>
      <c r="H35" s="61">
        <v>1590737</v>
      </c>
      <c r="I35" s="61">
        <v>34282241</v>
      </c>
      <c r="J35" s="61" t="s">
        <v>101</v>
      </c>
    </row>
    <row r="36" spans="1:10" x14ac:dyDescent="0.25">
      <c r="A36" s="60" t="s">
        <v>49</v>
      </c>
      <c r="B36" s="60" t="s">
        <v>79</v>
      </c>
      <c r="C36" s="60" t="s">
        <v>193</v>
      </c>
      <c r="D36" s="60" t="s">
        <v>13</v>
      </c>
      <c r="E36" s="60">
        <v>1932</v>
      </c>
      <c r="F36" s="60">
        <v>16841</v>
      </c>
      <c r="G36" s="60">
        <v>7713178</v>
      </c>
      <c r="H36" s="60">
        <v>4738764</v>
      </c>
      <c r="I36" s="60">
        <v>44988754</v>
      </c>
      <c r="J36" s="60" t="s">
        <v>100</v>
      </c>
    </row>
    <row r="37" spans="1:10" x14ac:dyDescent="0.25">
      <c r="A37" s="61" t="s">
        <v>27</v>
      </c>
      <c r="B37" s="61" t="s">
        <v>81</v>
      </c>
      <c r="C37" s="61" t="s">
        <v>194</v>
      </c>
      <c r="D37" s="61" t="s">
        <v>53</v>
      </c>
      <c r="E37" s="61">
        <v>1598.8</v>
      </c>
      <c r="F37" s="61">
        <v>18210.5</v>
      </c>
      <c r="G37" s="61">
        <v>7336230</v>
      </c>
      <c r="H37" s="61">
        <v>2229062</v>
      </c>
      <c r="I37" s="61">
        <v>39274422</v>
      </c>
      <c r="J37" s="61" t="s">
        <v>100</v>
      </c>
    </row>
    <row r="38" spans="1:10" x14ac:dyDescent="0.25">
      <c r="A38" s="60" t="s">
        <v>34</v>
      </c>
      <c r="B38" s="60" t="s">
        <v>75</v>
      </c>
      <c r="C38" s="60" t="s">
        <v>195</v>
      </c>
      <c r="D38" s="60" t="s">
        <v>50</v>
      </c>
      <c r="E38" s="60">
        <v>1933</v>
      </c>
      <c r="F38" s="60">
        <v>58687.199999999997</v>
      </c>
      <c r="G38" s="60">
        <v>16296984</v>
      </c>
      <c r="H38" s="60">
        <v>1120895</v>
      </c>
      <c r="I38" s="60">
        <v>104681231</v>
      </c>
      <c r="J38" s="60" t="s">
        <v>99</v>
      </c>
    </row>
    <row r="39" spans="1:10" x14ac:dyDescent="0.25">
      <c r="A39" s="61" t="s">
        <v>42</v>
      </c>
      <c r="B39" s="61" t="s">
        <v>93</v>
      </c>
      <c r="C39" s="61" t="s">
        <v>196</v>
      </c>
      <c r="D39" s="61" t="s">
        <v>50</v>
      </c>
      <c r="E39" s="61"/>
      <c r="F39" s="61">
        <v>7559.5</v>
      </c>
      <c r="G39" s="61">
        <v>1913135</v>
      </c>
      <c r="H39" s="61">
        <v>4680189</v>
      </c>
      <c r="I39" s="61">
        <v>21654174</v>
      </c>
      <c r="J39" s="61" t="s">
        <v>101</v>
      </c>
    </row>
    <row r="40" spans="1:10" x14ac:dyDescent="0.25">
      <c r="A40" s="60" t="s">
        <v>44</v>
      </c>
      <c r="B40" s="60" t="s">
        <v>93</v>
      </c>
      <c r="C40" s="60" t="s">
        <v>197</v>
      </c>
      <c r="D40" s="60" t="s">
        <v>45</v>
      </c>
      <c r="E40" s="60">
        <v>4452</v>
      </c>
      <c r="F40" s="60">
        <v>31745</v>
      </c>
      <c r="G40" s="60">
        <v>4412555</v>
      </c>
      <c r="H40" s="60">
        <v>4091720</v>
      </c>
      <c r="I40" s="60">
        <v>149833015</v>
      </c>
      <c r="J40" s="60" t="s">
        <v>83</v>
      </c>
    </row>
    <row r="41" spans="1:10" x14ac:dyDescent="0.25">
      <c r="A41" s="61" t="s">
        <v>39</v>
      </c>
      <c r="B41" s="61" t="s">
        <v>86</v>
      </c>
      <c r="C41" s="61" t="s">
        <v>198</v>
      </c>
      <c r="D41" s="61" t="s">
        <v>43</v>
      </c>
      <c r="E41" s="61">
        <v>2716</v>
      </c>
      <c r="F41" s="61">
        <v>12688</v>
      </c>
      <c r="G41" s="61">
        <v>2486848</v>
      </c>
      <c r="H41" s="61">
        <v>1413822</v>
      </c>
      <c r="I41" s="61">
        <v>38361278</v>
      </c>
      <c r="J41" s="61" t="s">
        <v>80</v>
      </c>
    </row>
    <row r="42" spans="1:10" x14ac:dyDescent="0.25">
      <c r="A42" s="60" t="s">
        <v>37</v>
      </c>
      <c r="B42" s="60" t="s">
        <v>94</v>
      </c>
      <c r="C42" s="60" t="s">
        <v>199</v>
      </c>
      <c r="D42" s="60" t="s">
        <v>43</v>
      </c>
      <c r="E42" s="60">
        <v>2237</v>
      </c>
      <c r="F42" s="60">
        <v>20276</v>
      </c>
      <c r="G42" s="60">
        <v>9671652</v>
      </c>
      <c r="H42" s="60">
        <v>4912334</v>
      </c>
      <c r="I42" s="60">
        <v>59941398</v>
      </c>
      <c r="J42" s="60" t="s">
        <v>83</v>
      </c>
    </row>
    <row r="43" spans="1:10" x14ac:dyDescent="0.25">
      <c r="A43" s="61" t="s">
        <v>39</v>
      </c>
      <c r="B43" s="61" t="s">
        <v>77</v>
      </c>
      <c r="C43" s="61" t="s">
        <v>200</v>
      </c>
      <c r="D43" s="61" t="s">
        <v>35</v>
      </c>
      <c r="E43" s="61">
        <v>1412</v>
      </c>
      <c r="F43" s="61"/>
      <c r="G43" s="61">
        <v>12753000</v>
      </c>
      <c r="H43" s="61">
        <v>663225</v>
      </c>
      <c r="I43" s="61">
        <v>61435521</v>
      </c>
      <c r="J43" s="61" t="s">
        <v>103</v>
      </c>
    </row>
    <row r="44" spans="1:10" x14ac:dyDescent="0.25">
      <c r="A44" s="60" t="s">
        <v>39</v>
      </c>
      <c r="B44" s="60" t="s">
        <v>81</v>
      </c>
      <c r="C44" s="60" t="s">
        <v>201</v>
      </c>
      <c r="D44" s="60" t="s">
        <v>50</v>
      </c>
      <c r="E44" s="60">
        <v>836</v>
      </c>
      <c r="F44" s="60">
        <v>56160</v>
      </c>
      <c r="G44" s="60">
        <v>14904000</v>
      </c>
      <c r="H44" s="60">
        <v>4753926</v>
      </c>
      <c r="I44" s="60">
        <v>55773126</v>
      </c>
      <c r="J44" s="60" t="s">
        <v>76</v>
      </c>
    </row>
    <row r="45" spans="1:10" x14ac:dyDescent="0.25">
      <c r="A45" s="61" t="s">
        <v>39</v>
      </c>
      <c r="B45" s="61" t="s">
        <v>94</v>
      </c>
      <c r="C45" s="61" t="s">
        <v>202</v>
      </c>
      <c r="D45" s="61" t="s">
        <v>50</v>
      </c>
      <c r="E45" s="61">
        <v>625</v>
      </c>
      <c r="F45" s="61">
        <v>34043.1</v>
      </c>
      <c r="G45" s="61">
        <v>11705589</v>
      </c>
      <c r="H45" s="61">
        <v>2483828</v>
      </c>
      <c r="I45" s="61">
        <v>30556292</v>
      </c>
      <c r="J45" s="61" t="s">
        <v>83</v>
      </c>
    </row>
    <row r="46" spans="1:10" x14ac:dyDescent="0.25">
      <c r="A46" s="60" t="s">
        <v>42</v>
      </c>
      <c r="B46" s="60" t="s">
        <v>79</v>
      </c>
      <c r="C46" s="60" t="s">
        <v>198</v>
      </c>
      <c r="D46" s="60" t="s">
        <v>35</v>
      </c>
      <c r="E46" s="60">
        <v>4629</v>
      </c>
      <c r="F46" s="60">
        <v>34318</v>
      </c>
      <c r="G46" s="60">
        <v>5113382</v>
      </c>
      <c r="H46" s="60">
        <v>3030898</v>
      </c>
      <c r="I46" s="60">
        <v>167002302</v>
      </c>
      <c r="J46" s="60" t="s">
        <v>80</v>
      </c>
    </row>
    <row r="47" spans="1:10" x14ac:dyDescent="0.25">
      <c r="A47" s="61" t="s">
        <v>42</v>
      </c>
      <c r="B47" s="61" t="s">
        <v>94</v>
      </c>
      <c r="C47" s="61" t="s">
        <v>203</v>
      </c>
      <c r="D47" s="61" t="s">
        <v>43</v>
      </c>
      <c r="E47" s="61">
        <v>3412</v>
      </c>
      <c r="F47" s="61">
        <v>22029</v>
      </c>
      <c r="G47" s="61">
        <v>7401744</v>
      </c>
      <c r="H47" s="61">
        <v>4420985</v>
      </c>
      <c r="I47" s="61">
        <v>86985677</v>
      </c>
      <c r="J47" s="61" t="s">
        <v>83</v>
      </c>
    </row>
    <row r="48" spans="1:10" x14ac:dyDescent="0.25">
      <c r="A48" s="60" t="s">
        <v>31</v>
      </c>
      <c r="B48" s="60" t="s">
        <v>92</v>
      </c>
      <c r="C48" s="60" t="s">
        <v>204</v>
      </c>
      <c r="D48" s="60" t="s">
        <v>50</v>
      </c>
      <c r="E48" s="60">
        <v>2105</v>
      </c>
      <c r="F48" s="60">
        <v>52642.2</v>
      </c>
      <c r="G48" s="60">
        <v>15468708</v>
      </c>
      <c r="H48" s="60">
        <v>4334451</v>
      </c>
      <c r="I48" s="60">
        <v>105043029</v>
      </c>
      <c r="J48" s="60" t="s">
        <v>82</v>
      </c>
    </row>
    <row r="49" spans="1:10" x14ac:dyDescent="0.25">
      <c r="A49" s="61" t="s">
        <v>27</v>
      </c>
      <c r="B49" s="61" t="s">
        <v>86</v>
      </c>
      <c r="C49" s="61" t="s">
        <v>205</v>
      </c>
      <c r="D49" s="61" t="s">
        <v>50</v>
      </c>
      <c r="E49" s="61">
        <v>737</v>
      </c>
      <c r="F49" s="61">
        <v>28345.200000000001</v>
      </c>
      <c r="G49" s="61">
        <v>3292404</v>
      </c>
      <c r="H49" s="61">
        <v>4566892</v>
      </c>
      <c r="I49" s="61">
        <v>23928844</v>
      </c>
      <c r="J49" s="61" t="s">
        <v>83</v>
      </c>
    </row>
    <row r="50" spans="1:10" x14ac:dyDescent="0.25">
      <c r="A50" s="60" t="s">
        <v>37</v>
      </c>
      <c r="B50" s="60" t="s">
        <v>81</v>
      </c>
      <c r="C50" s="60" t="s">
        <v>201</v>
      </c>
      <c r="D50" s="60" t="s">
        <v>43</v>
      </c>
      <c r="E50" s="60">
        <v>933</v>
      </c>
      <c r="F50" s="60">
        <v>31752</v>
      </c>
      <c r="G50" s="60">
        <v>5366088</v>
      </c>
      <c r="H50" s="60">
        <v>1334941</v>
      </c>
      <c r="I50" s="60">
        <v>36325645</v>
      </c>
      <c r="J50" s="60" t="s">
        <v>76</v>
      </c>
    </row>
    <row r="51" spans="1:10" x14ac:dyDescent="0.25">
      <c r="A51" s="61" t="s">
        <v>27</v>
      </c>
      <c r="B51" s="61" t="s">
        <v>93</v>
      </c>
      <c r="C51" s="61" t="s">
        <v>206</v>
      </c>
      <c r="D51" s="61" t="s">
        <v>32</v>
      </c>
      <c r="E51" s="61">
        <v>4503</v>
      </c>
      <c r="F51" s="61">
        <v>7651</v>
      </c>
      <c r="G51" s="61">
        <v>1361878</v>
      </c>
      <c r="H51" s="61">
        <v>2805968</v>
      </c>
      <c r="I51" s="61">
        <v>38620299</v>
      </c>
      <c r="J51" s="61" t="s">
        <v>103</v>
      </c>
    </row>
    <row r="52" spans="1:10" x14ac:dyDescent="0.25">
      <c r="A52" s="60" t="s">
        <v>46</v>
      </c>
      <c r="B52" s="60" t="s">
        <v>94</v>
      </c>
      <c r="C52" s="60" t="s">
        <v>207</v>
      </c>
      <c r="D52" s="60" t="s">
        <v>28</v>
      </c>
      <c r="E52" s="60">
        <v>2615.1999999999998</v>
      </c>
      <c r="F52" s="60">
        <v>6000</v>
      </c>
      <c r="G52" s="60">
        <v>2094000</v>
      </c>
      <c r="H52" s="60">
        <v>3409793</v>
      </c>
      <c r="I52" s="60">
        <v>16711793</v>
      </c>
      <c r="J52" s="60" t="s">
        <v>102</v>
      </c>
    </row>
    <row r="53" spans="1:10" x14ac:dyDescent="0.25">
      <c r="A53" s="61" t="s">
        <v>46</v>
      </c>
      <c r="B53" s="61" t="s">
        <v>92</v>
      </c>
      <c r="C53" s="61" t="s">
        <v>208</v>
      </c>
      <c r="D53" s="61" t="s">
        <v>50</v>
      </c>
      <c r="E53" s="61">
        <v>4046</v>
      </c>
      <c r="F53" s="61">
        <v>32925.1</v>
      </c>
      <c r="G53" s="61">
        <v>4356244</v>
      </c>
      <c r="H53" s="61">
        <v>1785594</v>
      </c>
      <c r="I53" s="61">
        <v>108614880</v>
      </c>
      <c r="J53" s="61" t="s">
        <v>101</v>
      </c>
    </row>
    <row r="54" spans="1:10" x14ac:dyDescent="0.25">
      <c r="A54" s="60" t="s">
        <v>44</v>
      </c>
      <c r="B54" s="60" t="s">
        <v>77</v>
      </c>
      <c r="C54" s="60" t="s">
        <v>209</v>
      </c>
      <c r="D54" s="60" t="s">
        <v>53</v>
      </c>
      <c r="E54" s="60">
        <v>4613</v>
      </c>
      <c r="F54" s="60">
        <v>9412.2000000000007</v>
      </c>
      <c r="G54" s="60">
        <v>5580090</v>
      </c>
      <c r="H54" s="60">
        <v>4314798</v>
      </c>
      <c r="I54" s="60">
        <v>54199458</v>
      </c>
      <c r="J54" s="60" t="s">
        <v>85</v>
      </c>
    </row>
    <row r="55" spans="1:10" x14ac:dyDescent="0.25">
      <c r="A55" s="61" t="s">
        <v>44</v>
      </c>
      <c r="B55" s="61" t="s">
        <v>81</v>
      </c>
      <c r="C55" s="61" t="s">
        <v>210</v>
      </c>
      <c r="D55" s="61" t="s">
        <v>32</v>
      </c>
      <c r="E55" s="61">
        <v>3437</v>
      </c>
      <c r="F55" s="61">
        <v>17457</v>
      </c>
      <c r="G55" s="61">
        <v>4800675</v>
      </c>
      <c r="H55" s="61">
        <v>3816903</v>
      </c>
      <c r="I55" s="61">
        <v>68617287</v>
      </c>
      <c r="J55" s="61" t="s">
        <v>78</v>
      </c>
    </row>
    <row r="56" spans="1:10" x14ac:dyDescent="0.25">
      <c r="A56" s="60" t="s">
        <v>46</v>
      </c>
      <c r="B56" s="60" t="s">
        <v>92</v>
      </c>
      <c r="C56" s="60" t="s">
        <v>211</v>
      </c>
      <c r="D56" s="60" t="s">
        <v>45</v>
      </c>
      <c r="E56" s="60">
        <v>2167</v>
      </c>
      <c r="F56" s="60">
        <v>23456</v>
      </c>
      <c r="G56" s="60">
        <v>8068864</v>
      </c>
      <c r="H56" s="60">
        <v>4892379</v>
      </c>
      <c r="I56" s="60">
        <v>63790395</v>
      </c>
      <c r="J56" s="60" t="s">
        <v>80</v>
      </c>
    </row>
    <row r="57" spans="1:10" x14ac:dyDescent="0.25">
      <c r="A57" s="61" t="s">
        <v>44</v>
      </c>
      <c r="B57" s="61" t="s">
        <v>81</v>
      </c>
      <c r="C57" s="61" t="s">
        <v>212</v>
      </c>
      <c r="D57" s="61" t="s">
        <v>53</v>
      </c>
      <c r="E57" s="61">
        <v>2289</v>
      </c>
      <c r="F57" s="61">
        <v>12636.4</v>
      </c>
      <c r="G57" s="61">
        <v>5054560</v>
      </c>
      <c r="H57" s="61">
        <v>11048770</v>
      </c>
      <c r="I57" s="61">
        <v>36779334</v>
      </c>
      <c r="J57" s="61" t="s">
        <v>82</v>
      </c>
    </row>
    <row r="58" spans="1:10" x14ac:dyDescent="0.25">
      <c r="A58" s="60" t="s">
        <v>27</v>
      </c>
      <c r="B58" s="60" t="s">
        <v>77</v>
      </c>
      <c r="C58" s="60" t="s">
        <v>213</v>
      </c>
      <c r="D58" s="60" t="s">
        <v>13</v>
      </c>
      <c r="E58" s="60">
        <v>2495</v>
      </c>
      <c r="F58" s="60">
        <v>26922</v>
      </c>
      <c r="G58" s="60">
        <v>12868716</v>
      </c>
      <c r="H58" s="60">
        <v>4865146</v>
      </c>
      <c r="I58" s="60">
        <v>339617008</v>
      </c>
      <c r="J58" s="60" t="s">
        <v>76</v>
      </c>
    </row>
    <row r="59" spans="1:10" x14ac:dyDescent="0.25">
      <c r="A59" s="61" t="s">
        <v>52</v>
      </c>
      <c r="B59" s="61" t="s">
        <v>77</v>
      </c>
      <c r="C59" s="61" t="s">
        <v>214</v>
      </c>
      <c r="D59" s="61" t="s">
        <v>53</v>
      </c>
      <c r="E59" s="61">
        <v>1244.5999999999999</v>
      </c>
      <c r="F59" s="61">
        <v>23400.3</v>
      </c>
      <c r="G59" s="61">
        <v>10463277</v>
      </c>
      <c r="H59" s="61">
        <v>1325646</v>
      </c>
      <c r="I59" s="61">
        <v>41507304</v>
      </c>
      <c r="J59" s="61" t="s">
        <v>85</v>
      </c>
    </row>
    <row r="60" spans="1:10" x14ac:dyDescent="0.25">
      <c r="A60" s="60" t="s">
        <v>37</v>
      </c>
      <c r="B60" s="60" t="s">
        <v>84</v>
      </c>
      <c r="C60" s="60" t="s">
        <v>197</v>
      </c>
      <c r="D60" s="60" t="s">
        <v>47</v>
      </c>
      <c r="E60" s="60">
        <v>4120</v>
      </c>
      <c r="F60" s="60"/>
      <c r="G60" s="60">
        <v>4873518</v>
      </c>
      <c r="H60" s="60">
        <v>2422363</v>
      </c>
      <c r="I60" s="60">
        <v>93103121</v>
      </c>
      <c r="J60" s="60" t="s">
        <v>83</v>
      </c>
    </row>
    <row r="61" spans="1:10" x14ac:dyDescent="0.25">
      <c r="A61" s="61" t="s">
        <v>52</v>
      </c>
      <c r="B61" s="61" t="s">
        <v>81</v>
      </c>
      <c r="C61" s="61" t="s">
        <v>215</v>
      </c>
      <c r="D61" s="61" t="s">
        <v>47</v>
      </c>
      <c r="E61" s="61"/>
      <c r="F61" s="61"/>
      <c r="G61" s="61">
        <v>4728492</v>
      </c>
      <c r="H61" s="61">
        <v>3476973</v>
      </c>
      <c r="I61" s="61">
        <v>15717666</v>
      </c>
      <c r="J61" s="61" t="s">
        <v>103</v>
      </c>
    </row>
    <row r="62" spans="1:10" x14ac:dyDescent="0.25">
      <c r="A62" s="60" t="s">
        <v>49</v>
      </c>
      <c r="B62" s="60" t="s">
        <v>95</v>
      </c>
      <c r="C62" s="60" t="s">
        <v>195</v>
      </c>
      <c r="D62" s="60" t="s">
        <v>53</v>
      </c>
      <c r="E62" s="60">
        <v>4459</v>
      </c>
      <c r="F62" s="60">
        <v>19021.099999999999</v>
      </c>
      <c r="G62" s="60">
        <v>9592069</v>
      </c>
      <c r="H62" s="60">
        <v>3713395</v>
      </c>
      <c r="I62" s="60">
        <v>99851469</v>
      </c>
      <c r="J62" s="60" t="s">
        <v>99</v>
      </c>
    </row>
    <row r="63" spans="1:10" x14ac:dyDescent="0.25">
      <c r="A63" s="61" t="s">
        <v>27</v>
      </c>
      <c r="B63" s="61" t="s">
        <v>92</v>
      </c>
      <c r="C63" s="61" t="s">
        <v>216</v>
      </c>
      <c r="D63" s="61" t="s">
        <v>47</v>
      </c>
      <c r="E63" s="61"/>
      <c r="F63" s="61">
        <v>31020</v>
      </c>
      <c r="G63" s="61">
        <v>10701900</v>
      </c>
      <c r="H63" s="61">
        <v>854727</v>
      </c>
      <c r="I63" s="61">
        <v>122856387</v>
      </c>
      <c r="J63" s="61" t="s">
        <v>102</v>
      </c>
    </row>
    <row r="64" spans="1:10" x14ac:dyDescent="0.25">
      <c r="A64" s="60" t="s">
        <v>39</v>
      </c>
      <c r="B64" s="60" t="s">
        <v>92</v>
      </c>
      <c r="C64" s="60" t="s">
        <v>217</v>
      </c>
      <c r="D64" s="60" t="s">
        <v>43</v>
      </c>
      <c r="E64" s="60"/>
      <c r="F64" s="60">
        <v>5456</v>
      </c>
      <c r="G64" s="60">
        <v>1085744</v>
      </c>
      <c r="H64" s="60">
        <v>3936852</v>
      </c>
      <c r="I64" s="60">
        <v>19235476</v>
      </c>
      <c r="J64" s="60" t="s">
        <v>104</v>
      </c>
    </row>
    <row r="65" spans="1:10" x14ac:dyDescent="0.25">
      <c r="A65" s="61" t="s">
        <v>31</v>
      </c>
      <c r="B65" s="61" t="s">
        <v>92</v>
      </c>
      <c r="C65" s="61" t="s">
        <v>218</v>
      </c>
      <c r="D65" s="61" t="s">
        <v>32</v>
      </c>
      <c r="E65" s="61">
        <v>4134</v>
      </c>
      <c r="F65" s="61"/>
      <c r="G65" s="61">
        <v>15825404</v>
      </c>
      <c r="H65" s="61">
        <v>3103482</v>
      </c>
      <c r="I65" s="61">
        <v>184975130</v>
      </c>
      <c r="J65" s="61" t="s">
        <v>78</v>
      </c>
    </row>
    <row r="66" spans="1:10" x14ac:dyDescent="0.25">
      <c r="A66" s="60" t="s">
        <v>39</v>
      </c>
      <c r="B66" s="60" t="s">
        <v>81</v>
      </c>
      <c r="C66" s="60" t="s">
        <v>219</v>
      </c>
      <c r="D66" s="60" t="s">
        <v>40</v>
      </c>
      <c r="E66" s="60">
        <v>5391.4</v>
      </c>
      <c r="F66" s="60">
        <v>11355</v>
      </c>
      <c r="G66" s="60">
        <v>2305065</v>
      </c>
      <c r="H66" s="60">
        <v>1958821</v>
      </c>
      <c r="I66" s="60">
        <v>191967964</v>
      </c>
      <c r="J66" s="60" t="s">
        <v>78</v>
      </c>
    </row>
    <row r="67" spans="1:10" x14ac:dyDescent="0.25">
      <c r="A67" s="61" t="s">
        <v>37</v>
      </c>
      <c r="B67" s="61" t="s">
        <v>75</v>
      </c>
      <c r="C67" s="61" t="s">
        <v>220</v>
      </c>
      <c r="D67" s="61" t="s">
        <v>32</v>
      </c>
      <c r="E67" s="61"/>
      <c r="F67" s="61"/>
      <c r="G67" s="61">
        <v>3236079</v>
      </c>
      <c r="H67" s="61">
        <v>3039149</v>
      </c>
      <c r="I67" s="61">
        <v>24290802</v>
      </c>
      <c r="J67" s="61" t="s">
        <v>103</v>
      </c>
    </row>
    <row r="68" spans="1:10" x14ac:dyDescent="0.25">
      <c r="A68" s="60" t="s">
        <v>49</v>
      </c>
      <c r="B68" s="60" t="s">
        <v>77</v>
      </c>
      <c r="C68" s="60" t="s">
        <v>221</v>
      </c>
      <c r="D68" s="60" t="s">
        <v>13</v>
      </c>
      <c r="E68" s="60">
        <v>3769</v>
      </c>
      <c r="F68" s="60">
        <v>35877</v>
      </c>
      <c r="G68" s="60">
        <v>5489181</v>
      </c>
      <c r="H68" s="60">
        <v>8648395</v>
      </c>
      <c r="I68" s="60">
        <v>142439273</v>
      </c>
      <c r="J68" s="60" t="s">
        <v>85</v>
      </c>
    </row>
    <row r="69" spans="1:10" x14ac:dyDescent="0.25">
      <c r="A69" s="61" t="s">
        <v>52</v>
      </c>
      <c r="B69" s="61" t="s">
        <v>79</v>
      </c>
      <c r="C69" s="61" t="s">
        <v>222</v>
      </c>
      <c r="D69" s="61" t="s">
        <v>35</v>
      </c>
      <c r="E69" s="61">
        <v>2589</v>
      </c>
      <c r="F69" s="61">
        <v>8270</v>
      </c>
      <c r="G69" s="61">
        <v>1563030</v>
      </c>
      <c r="H69" s="61">
        <v>3564057</v>
      </c>
      <c r="I69" s="61">
        <v>106152468</v>
      </c>
      <c r="J69" s="61" t="s">
        <v>100</v>
      </c>
    </row>
    <row r="70" spans="1:10" x14ac:dyDescent="0.25">
      <c r="A70" s="60" t="s">
        <v>37</v>
      </c>
      <c r="B70" s="60" t="s">
        <v>77</v>
      </c>
      <c r="C70" s="60" t="s">
        <v>223</v>
      </c>
      <c r="D70" s="60" t="s">
        <v>28</v>
      </c>
      <c r="E70" s="60">
        <v>1867.6</v>
      </c>
      <c r="F70" s="60">
        <v>46028</v>
      </c>
      <c r="G70" s="60">
        <v>20068208</v>
      </c>
      <c r="H70" s="60">
        <v>2266980</v>
      </c>
      <c r="I70" s="60">
        <v>83736540</v>
      </c>
      <c r="J70" s="60" t="s">
        <v>82</v>
      </c>
    </row>
    <row r="71" spans="1:10" x14ac:dyDescent="0.25">
      <c r="A71" s="61" t="s">
        <v>39</v>
      </c>
      <c r="B71" s="61" t="s">
        <v>81</v>
      </c>
      <c r="C71" s="61" t="s">
        <v>224</v>
      </c>
      <c r="D71" s="61" t="s">
        <v>13</v>
      </c>
      <c r="E71" s="61">
        <v>4078</v>
      </c>
      <c r="F71" s="61">
        <v>9560</v>
      </c>
      <c r="G71" s="61">
        <v>3795320</v>
      </c>
      <c r="H71" s="61">
        <v>2303574</v>
      </c>
      <c r="I71" s="61">
        <v>45084574</v>
      </c>
      <c r="J71" s="61" t="s">
        <v>102</v>
      </c>
    </row>
    <row r="72" spans="1:10" x14ac:dyDescent="0.25">
      <c r="A72" s="60" t="s">
        <v>49</v>
      </c>
      <c r="B72" s="60" t="s">
        <v>81</v>
      </c>
      <c r="C72" s="60" t="s">
        <v>225</v>
      </c>
      <c r="D72" s="60" t="s">
        <v>32</v>
      </c>
      <c r="E72" s="60">
        <v>1381</v>
      </c>
      <c r="F72" s="60">
        <v>13578</v>
      </c>
      <c r="G72" s="60">
        <v>5336154</v>
      </c>
      <c r="H72" s="60">
        <v>1442642</v>
      </c>
      <c r="I72" s="60">
        <v>25530014</v>
      </c>
      <c r="J72" s="60" t="s">
        <v>100</v>
      </c>
    </row>
    <row r="73" spans="1:10" x14ac:dyDescent="0.25">
      <c r="A73" s="61" t="s">
        <v>34</v>
      </c>
      <c r="B73" s="61" t="s">
        <v>84</v>
      </c>
      <c r="C73" s="61" t="s">
        <v>226</v>
      </c>
      <c r="D73" s="61" t="s">
        <v>40</v>
      </c>
      <c r="E73" s="61">
        <v>6914.6</v>
      </c>
      <c r="F73" s="61">
        <v>40916</v>
      </c>
      <c r="G73" s="61">
        <v>19926092</v>
      </c>
      <c r="H73" s="61">
        <v>3643451</v>
      </c>
      <c r="I73" s="61">
        <v>225653667</v>
      </c>
      <c r="J73" s="61" t="s">
        <v>83</v>
      </c>
    </row>
    <row r="74" spans="1:10" x14ac:dyDescent="0.25">
      <c r="A74" s="60" t="s">
        <v>44</v>
      </c>
      <c r="B74" s="60" t="s">
        <v>94</v>
      </c>
      <c r="C74" s="60" t="s">
        <v>227</v>
      </c>
      <c r="D74" s="60" t="s">
        <v>13</v>
      </c>
      <c r="E74" s="60">
        <v>2817</v>
      </c>
      <c r="F74" s="60">
        <v>13994</v>
      </c>
      <c r="G74" s="60">
        <v>6689132</v>
      </c>
      <c r="H74" s="60">
        <v>3519113</v>
      </c>
      <c r="I74" s="60">
        <v>49629343</v>
      </c>
      <c r="J74" s="60" t="s">
        <v>83</v>
      </c>
    </row>
    <row r="75" spans="1:10" x14ac:dyDescent="0.25">
      <c r="A75" s="61" t="s">
        <v>49</v>
      </c>
      <c r="B75" s="61" t="s">
        <v>93</v>
      </c>
      <c r="C75" s="61" t="s">
        <v>228</v>
      </c>
      <c r="D75" s="61" t="s">
        <v>35</v>
      </c>
      <c r="E75" s="61">
        <v>2937</v>
      </c>
      <c r="F75" s="61">
        <v>14499</v>
      </c>
      <c r="G75" s="61">
        <v>7177005</v>
      </c>
      <c r="H75" s="61">
        <v>1341541</v>
      </c>
      <c r="I75" s="61">
        <v>51102109</v>
      </c>
      <c r="J75" s="61" t="s">
        <v>85</v>
      </c>
    </row>
    <row r="76" spans="1:10" x14ac:dyDescent="0.25">
      <c r="A76" s="60" t="s">
        <v>37</v>
      </c>
      <c r="B76" s="60" t="s">
        <v>77</v>
      </c>
      <c r="C76" s="60" t="s">
        <v>229</v>
      </c>
      <c r="D76" s="60" t="s">
        <v>40</v>
      </c>
      <c r="E76" s="60">
        <v>3235.4</v>
      </c>
      <c r="F76" s="60">
        <v>15002</v>
      </c>
      <c r="G76" s="60">
        <v>3975530</v>
      </c>
      <c r="H76" s="60">
        <v>4947667</v>
      </c>
      <c r="I76" s="60">
        <v>43592819</v>
      </c>
      <c r="J76" s="60" t="s">
        <v>104</v>
      </c>
    </row>
    <row r="77" spans="1:10" x14ac:dyDescent="0.25">
      <c r="A77" s="61" t="s">
        <v>34</v>
      </c>
      <c r="B77" s="61" t="s">
        <v>81</v>
      </c>
      <c r="C77" s="61" t="s">
        <v>230</v>
      </c>
      <c r="D77" s="61" t="s">
        <v>40</v>
      </c>
      <c r="E77" s="61">
        <v>2224.6</v>
      </c>
      <c r="F77" s="61">
        <v>23169</v>
      </c>
      <c r="G77" s="61">
        <v>5630067</v>
      </c>
      <c r="H77" s="61">
        <v>4471729</v>
      </c>
      <c r="I77" s="61">
        <v>46917337</v>
      </c>
      <c r="J77" s="61" t="s">
        <v>99</v>
      </c>
    </row>
    <row r="78" spans="1:10" x14ac:dyDescent="0.25">
      <c r="A78" s="60" t="s">
        <v>46</v>
      </c>
      <c r="B78" s="60" t="s">
        <v>77</v>
      </c>
      <c r="C78" s="60" t="s">
        <v>223</v>
      </c>
      <c r="D78" s="60" t="s">
        <v>40</v>
      </c>
      <c r="E78" s="60">
        <v>2679.6</v>
      </c>
      <c r="F78" s="60"/>
      <c r="G78" s="60">
        <v>1370391</v>
      </c>
      <c r="H78" s="60">
        <v>1953924</v>
      </c>
      <c r="I78" s="60">
        <v>23346669</v>
      </c>
      <c r="J78" s="60" t="s">
        <v>82</v>
      </c>
    </row>
    <row r="79" spans="1:10" x14ac:dyDescent="0.25">
      <c r="A79" s="61" t="s">
        <v>52</v>
      </c>
      <c r="B79" s="61" t="s">
        <v>84</v>
      </c>
      <c r="C79" s="61" t="s">
        <v>231</v>
      </c>
      <c r="D79" s="61" t="s">
        <v>43</v>
      </c>
      <c r="E79" s="61">
        <v>2567</v>
      </c>
      <c r="F79" s="61">
        <v>4240</v>
      </c>
      <c r="G79" s="61">
        <v>1861360</v>
      </c>
      <c r="H79" s="61">
        <v>1698282</v>
      </c>
      <c r="I79" s="61">
        <v>14443722</v>
      </c>
      <c r="J79" s="61" t="s">
        <v>99</v>
      </c>
    </row>
    <row r="80" spans="1:10" x14ac:dyDescent="0.25">
      <c r="A80" s="60" t="s">
        <v>31</v>
      </c>
      <c r="B80" s="60" t="s">
        <v>75</v>
      </c>
      <c r="C80" s="60" t="s">
        <v>211</v>
      </c>
      <c r="D80" s="60" t="s">
        <v>53</v>
      </c>
      <c r="E80" s="60">
        <v>6972</v>
      </c>
      <c r="F80" s="60">
        <v>21681.1</v>
      </c>
      <c r="G80" s="60">
        <v>13875904</v>
      </c>
      <c r="H80" s="60">
        <v>2510128</v>
      </c>
      <c r="I80" s="60">
        <v>170631572</v>
      </c>
      <c r="J80" s="60" t="s">
        <v>80</v>
      </c>
    </row>
    <row r="81" spans="1:10" x14ac:dyDescent="0.25">
      <c r="A81" s="61" t="s">
        <v>31</v>
      </c>
      <c r="B81" s="61" t="s">
        <v>84</v>
      </c>
      <c r="C81" s="61" t="s">
        <v>232</v>
      </c>
      <c r="D81" s="61" t="s">
        <v>13</v>
      </c>
      <c r="E81" s="61"/>
      <c r="F81" s="61">
        <v>32900</v>
      </c>
      <c r="G81" s="61">
        <v>6777400</v>
      </c>
      <c r="H81" s="61">
        <v>3584230</v>
      </c>
      <c r="I81" s="61">
        <v>126301230</v>
      </c>
      <c r="J81" s="61" t="s">
        <v>83</v>
      </c>
    </row>
    <row r="82" spans="1:10" x14ac:dyDescent="0.25">
      <c r="A82" s="60" t="s">
        <v>37</v>
      </c>
      <c r="B82" s="60" t="s">
        <v>84</v>
      </c>
      <c r="C82" s="60" t="s">
        <v>233</v>
      </c>
      <c r="D82" s="60" t="s">
        <v>53</v>
      </c>
      <c r="E82" s="60">
        <v>4765.6000000000004</v>
      </c>
      <c r="F82" s="60">
        <v>11366.6</v>
      </c>
      <c r="G82" s="60">
        <v>6933626</v>
      </c>
      <c r="H82" s="60">
        <v>2380633</v>
      </c>
      <c r="I82" s="60">
        <v>64588411</v>
      </c>
      <c r="J82" s="60" t="s">
        <v>82</v>
      </c>
    </row>
    <row r="83" spans="1:10" x14ac:dyDescent="0.25">
      <c r="A83" s="61" t="s">
        <v>46</v>
      </c>
      <c r="B83" s="61" t="s">
        <v>75</v>
      </c>
      <c r="C83" s="61" t="s">
        <v>234</v>
      </c>
      <c r="D83" s="61" t="s">
        <v>47</v>
      </c>
      <c r="E83" s="61">
        <v>3243</v>
      </c>
      <c r="F83" s="61">
        <v>5362</v>
      </c>
      <c r="G83" s="61">
        <v>739956</v>
      </c>
      <c r="H83" s="61">
        <v>4259028</v>
      </c>
      <c r="I83" s="61">
        <v>22387950</v>
      </c>
      <c r="J83" s="61" t="s">
        <v>102</v>
      </c>
    </row>
    <row r="84" spans="1:10" x14ac:dyDescent="0.25">
      <c r="A84" s="60" t="s">
        <v>46</v>
      </c>
      <c r="B84" s="60" t="s">
        <v>94</v>
      </c>
      <c r="C84" s="60" t="s">
        <v>179</v>
      </c>
      <c r="D84" s="60" t="s">
        <v>45</v>
      </c>
      <c r="E84" s="60">
        <v>1599</v>
      </c>
      <c r="F84" s="60">
        <v>6748</v>
      </c>
      <c r="G84" s="60">
        <v>1005452</v>
      </c>
      <c r="H84" s="60">
        <v>3330904</v>
      </c>
      <c r="I84" s="60">
        <v>15126408</v>
      </c>
      <c r="J84" s="60" t="s">
        <v>83</v>
      </c>
    </row>
    <row r="85" spans="1:10" x14ac:dyDescent="0.25">
      <c r="A85" s="61" t="s">
        <v>46</v>
      </c>
      <c r="B85" s="61" t="s">
        <v>92</v>
      </c>
      <c r="C85" s="61" t="s">
        <v>195</v>
      </c>
      <c r="D85" s="61" t="s">
        <v>32</v>
      </c>
      <c r="E85" s="61">
        <v>1180</v>
      </c>
      <c r="F85" s="61">
        <v>11979</v>
      </c>
      <c r="G85" s="61">
        <v>3114540</v>
      </c>
      <c r="H85" s="61">
        <v>2375872</v>
      </c>
      <c r="I85" s="61">
        <v>19625632</v>
      </c>
      <c r="J85" s="61" t="s">
        <v>99</v>
      </c>
    </row>
    <row r="86" spans="1:10" x14ac:dyDescent="0.25">
      <c r="A86" s="60" t="s">
        <v>42</v>
      </c>
      <c r="B86" s="60" t="s">
        <v>79</v>
      </c>
      <c r="C86" s="60" t="s">
        <v>235</v>
      </c>
      <c r="D86" s="60" t="s">
        <v>50</v>
      </c>
      <c r="E86" s="60">
        <v>3928</v>
      </c>
      <c r="F86" s="60">
        <v>45372.6</v>
      </c>
      <c r="G86" s="60">
        <v>14623938</v>
      </c>
      <c r="H86" s="60">
        <v>962979</v>
      </c>
      <c r="I86" s="60">
        <v>152681973</v>
      </c>
      <c r="J86" s="60" t="s">
        <v>82</v>
      </c>
    </row>
    <row r="87" spans="1:10" x14ac:dyDescent="0.25">
      <c r="A87" s="61" t="s">
        <v>42</v>
      </c>
      <c r="B87" s="61" t="s">
        <v>92</v>
      </c>
      <c r="C87" s="61" t="s">
        <v>236</v>
      </c>
      <c r="D87" s="61" t="s">
        <v>45</v>
      </c>
      <c r="E87" s="61">
        <v>929</v>
      </c>
      <c r="F87" s="61">
        <v>17678</v>
      </c>
      <c r="G87" s="61">
        <v>4118974</v>
      </c>
      <c r="H87" s="61">
        <v>3432767</v>
      </c>
      <c r="I87" s="61">
        <v>23974603</v>
      </c>
      <c r="J87" s="61" t="s">
        <v>101</v>
      </c>
    </row>
    <row r="88" spans="1:10" x14ac:dyDescent="0.25">
      <c r="A88" s="60" t="s">
        <v>42</v>
      </c>
      <c r="B88" s="60" t="s">
        <v>93</v>
      </c>
      <c r="C88" s="60" t="s">
        <v>166</v>
      </c>
      <c r="D88" s="60" t="s">
        <v>35</v>
      </c>
      <c r="E88" s="60">
        <v>1824</v>
      </c>
      <c r="F88" s="60">
        <v>11076</v>
      </c>
      <c r="G88" s="60">
        <v>2193048</v>
      </c>
      <c r="H88" s="60">
        <v>4584685</v>
      </c>
      <c r="I88" s="60">
        <v>26980357</v>
      </c>
      <c r="J88" s="60" t="s">
        <v>103</v>
      </c>
    </row>
    <row r="89" spans="1:10" x14ac:dyDescent="0.25">
      <c r="A89" s="61" t="s">
        <v>27</v>
      </c>
      <c r="B89" s="61" t="s">
        <v>86</v>
      </c>
      <c r="C89" s="61" t="s">
        <v>237</v>
      </c>
      <c r="D89" s="61" t="s">
        <v>32</v>
      </c>
      <c r="E89" s="61">
        <v>3034</v>
      </c>
      <c r="F89" s="61">
        <v>9525</v>
      </c>
      <c r="G89" s="61">
        <v>1266825</v>
      </c>
      <c r="H89" s="61">
        <v>659581</v>
      </c>
      <c r="I89" s="61">
        <v>30825256</v>
      </c>
      <c r="J89" s="61" t="s">
        <v>101</v>
      </c>
    </row>
    <row r="90" spans="1:10" x14ac:dyDescent="0.25">
      <c r="A90" s="60" t="s">
        <v>37</v>
      </c>
      <c r="B90" s="60" t="s">
        <v>95</v>
      </c>
      <c r="C90" s="60" t="s">
        <v>238</v>
      </c>
      <c r="D90" s="60" t="s">
        <v>28</v>
      </c>
      <c r="E90" s="60">
        <v>798</v>
      </c>
      <c r="F90" s="60"/>
      <c r="G90" s="60">
        <v>4874352</v>
      </c>
      <c r="H90" s="60">
        <v>1012227</v>
      </c>
      <c r="I90" s="60">
        <v>16292499</v>
      </c>
      <c r="J90" s="60" t="s">
        <v>82</v>
      </c>
    </row>
    <row r="91" spans="1:10" x14ac:dyDescent="0.25">
      <c r="A91" s="61" t="s">
        <v>44</v>
      </c>
      <c r="B91" s="61" t="s">
        <v>77</v>
      </c>
      <c r="C91" s="61" t="s">
        <v>239</v>
      </c>
      <c r="D91" s="61" t="s">
        <v>32</v>
      </c>
      <c r="E91" s="61">
        <v>2753</v>
      </c>
      <c r="F91" s="61">
        <v>7762</v>
      </c>
      <c r="G91" s="61">
        <v>2227694</v>
      </c>
      <c r="H91" s="61">
        <v>3105094</v>
      </c>
      <c r="I91" s="61">
        <v>26701574</v>
      </c>
      <c r="J91" s="61" t="s">
        <v>76</v>
      </c>
    </row>
    <row r="92" spans="1:10" x14ac:dyDescent="0.25">
      <c r="A92" s="60" t="s">
        <v>52</v>
      </c>
      <c r="B92" s="60" t="s">
        <v>77</v>
      </c>
      <c r="C92" s="60" t="s">
        <v>162</v>
      </c>
      <c r="D92" s="60" t="s">
        <v>32</v>
      </c>
      <c r="E92" s="60">
        <v>2609</v>
      </c>
      <c r="F92" s="60">
        <v>27598</v>
      </c>
      <c r="G92" s="60">
        <v>13467824</v>
      </c>
      <c r="H92" s="60">
        <v>3310368</v>
      </c>
      <c r="I92" s="60">
        <v>88781374</v>
      </c>
      <c r="J92" s="60" t="s">
        <v>85</v>
      </c>
    </row>
    <row r="93" spans="1:10" x14ac:dyDescent="0.25">
      <c r="A93" s="61" t="s">
        <v>39</v>
      </c>
      <c r="B93" s="61" t="s">
        <v>86</v>
      </c>
      <c r="C93" s="61" t="s">
        <v>240</v>
      </c>
      <c r="D93" s="61" t="s">
        <v>32</v>
      </c>
      <c r="E93" s="61">
        <v>4418</v>
      </c>
      <c r="F93" s="61">
        <v>8702</v>
      </c>
      <c r="G93" s="61">
        <v>3280654</v>
      </c>
      <c r="H93" s="61">
        <v>615109</v>
      </c>
      <c r="I93" s="61">
        <v>42341199</v>
      </c>
      <c r="J93" s="61" t="s">
        <v>99</v>
      </c>
    </row>
    <row r="94" spans="1:10" x14ac:dyDescent="0.25">
      <c r="A94" s="60" t="s">
        <v>44</v>
      </c>
      <c r="B94" s="60" t="s">
        <v>93</v>
      </c>
      <c r="C94" s="60" t="s">
        <v>241</v>
      </c>
      <c r="D94" s="60" t="s">
        <v>47</v>
      </c>
      <c r="E94" s="60">
        <v>4849</v>
      </c>
      <c r="F94" s="60">
        <v>8214</v>
      </c>
      <c r="G94" s="60">
        <v>1667442</v>
      </c>
      <c r="H94" s="60">
        <v>4255125</v>
      </c>
      <c r="I94" s="60">
        <v>45752253</v>
      </c>
      <c r="J94" s="60" t="s">
        <v>99</v>
      </c>
    </row>
    <row r="95" spans="1:10" x14ac:dyDescent="0.25">
      <c r="A95" s="61" t="s">
        <v>46</v>
      </c>
      <c r="B95" s="61" t="s">
        <v>95</v>
      </c>
      <c r="C95" s="61" t="s">
        <v>189</v>
      </c>
      <c r="D95" s="61" t="s">
        <v>53</v>
      </c>
      <c r="E95" s="61">
        <v>1750</v>
      </c>
      <c r="F95" s="61"/>
      <c r="G95" s="61">
        <v>4231825</v>
      </c>
      <c r="H95" s="61">
        <v>3268157</v>
      </c>
      <c r="I95" s="61">
        <v>21531232</v>
      </c>
      <c r="J95" s="61" t="s">
        <v>76</v>
      </c>
    </row>
    <row r="96" spans="1:10" x14ac:dyDescent="0.25">
      <c r="A96" s="60" t="s">
        <v>37</v>
      </c>
      <c r="B96" s="60" t="s">
        <v>92</v>
      </c>
      <c r="C96" s="60" t="s">
        <v>182</v>
      </c>
      <c r="D96" s="60" t="s">
        <v>40</v>
      </c>
      <c r="E96" s="60">
        <v>4279.8</v>
      </c>
      <c r="F96" s="60">
        <v>18095</v>
      </c>
      <c r="G96" s="60">
        <v>4089470</v>
      </c>
      <c r="H96" s="60">
        <v>1719569</v>
      </c>
      <c r="I96" s="60">
        <v>61125454</v>
      </c>
      <c r="J96" s="60" t="s">
        <v>102</v>
      </c>
    </row>
    <row r="97" spans="1:10" x14ac:dyDescent="0.25">
      <c r="A97" s="61" t="s">
        <v>39</v>
      </c>
      <c r="B97" s="61" t="s">
        <v>92</v>
      </c>
      <c r="C97" s="61" t="s">
        <v>242</v>
      </c>
      <c r="D97" s="61" t="s">
        <v>43</v>
      </c>
      <c r="E97" s="61">
        <v>3586</v>
      </c>
      <c r="F97" s="61">
        <v>38295</v>
      </c>
      <c r="G97" s="61">
        <v>5476185</v>
      </c>
      <c r="H97" s="61">
        <v>887815</v>
      </c>
      <c r="I97" s="61">
        <v>143689870</v>
      </c>
      <c r="J97" s="61" t="s">
        <v>78</v>
      </c>
    </row>
    <row r="98" spans="1:10" x14ac:dyDescent="0.25">
      <c r="A98" s="60" t="s">
        <v>46</v>
      </c>
      <c r="B98" s="60" t="s">
        <v>81</v>
      </c>
      <c r="C98" s="60" t="s">
        <v>243</v>
      </c>
      <c r="D98" s="60" t="s">
        <v>43</v>
      </c>
      <c r="E98" s="60">
        <v>3782</v>
      </c>
      <c r="F98" s="60">
        <v>39893</v>
      </c>
      <c r="G98" s="60">
        <v>6263201</v>
      </c>
      <c r="H98" s="60">
        <v>6333350</v>
      </c>
      <c r="I98" s="60">
        <v>158405197</v>
      </c>
      <c r="J98" s="60" t="s">
        <v>76</v>
      </c>
    </row>
    <row r="99" spans="1:10" x14ac:dyDescent="0.25">
      <c r="A99" s="61" t="s">
        <v>39</v>
      </c>
      <c r="B99" s="61" t="s">
        <v>93</v>
      </c>
      <c r="C99" s="61" t="s">
        <v>199</v>
      </c>
      <c r="D99" s="61" t="s">
        <v>28</v>
      </c>
      <c r="E99" s="61">
        <v>4834.2</v>
      </c>
      <c r="F99" s="61">
        <v>14283</v>
      </c>
      <c r="G99" s="61">
        <v>5356125</v>
      </c>
      <c r="H99" s="61">
        <v>1549672</v>
      </c>
      <c r="I99" s="61">
        <v>56224996</v>
      </c>
      <c r="J99" s="61" t="s">
        <v>83</v>
      </c>
    </row>
    <row r="100" spans="1:10" x14ac:dyDescent="0.25">
      <c r="A100" s="60" t="s">
        <v>39</v>
      </c>
      <c r="B100" s="60" t="s">
        <v>79</v>
      </c>
      <c r="C100" s="60" t="s">
        <v>165</v>
      </c>
      <c r="D100" s="60" t="s">
        <v>35</v>
      </c>
      <c r="E100" s="60">
        <v>4286</v>
      </c>
      <c r="F100" s="60">
        <v>8925</v>
      </c>
      <c r="G100" s="60">
        <v>2722125</v>
      </c>
      <c r="H100" s="60">
        <v>896661</v>
      </c>
      <c r="I100" s="60">
        <v>41871336</v>
      </c>
      <c r="J100" s="60" t="s">
        <v>100</v>
      </c>
    </row>
    <row r="101" spans="1:10" x14ac:dyDescent="0.25">
      <c r="A101" s="61" t="s">
        <v>31</v>
      </c>
      <c r="B101" s="61" t="s">
        <v>75</v>
      </c>
      <c r="C101" s="61" t="s">
        <v>244</v>
      </c>
      <c r="D101" s="61" t="s">
        <v>32</v>
      </c>
      <c r="E101" s="61"/>
      <c r="F101" s="61">
        <v>4885</v>
      </c>
      <c r="G101" s="61">
        <v>1734175</v>
      </c>
      <c r="H101" s="61">
        <v>4292613</v>
      </c>
      <c r="I101" s="61">
        <v>23891233</v>
      </c>
      <c r="J101" s="61" t="s">
        <v>102</v>
      </c>
    </row>
    <row r="102" spans="1:10" x14ac:dyDescent="0.25">
      <c r="A102" s="60" t="s">
        <v>31</v>
      </c>
      <c r="B102" s="60" t="s">
        <v>77</v>
      </c>
      <c r="C102" s="60" t="s">
        <v>190</v>
      </c>
      <c r="D102" s="60" t="s">
        <v>13</v>
      </c>
      <c r="E102" s="60">
        <v>4529</v>
      </c>
      <c r="F102" s="60">
        <v>4425</v>
      </c>
      <c r="G102" s="60">
        <v>584100</v>
      </c>
      <c r="H102" s="60">
        <v>2385440</v>
      </c>
      <c r="I102" s="60">
        <v>23010365</v>
      </c>
      <c r="J102" s="60" t="s">
        <v>76</v>
      </c>
    </row>
    <row r="103" spans="1:10" x14ac:dyDescent="0.25">
      <c r="A103" s="61" t="s">
        <v>27</v>
      </c>
      <c r="B103" s="61" t="s">
        <v>81</v>
      </c>
      <c r="C103" s="61" t="s">
        <v>210</v>
      </c>
      <c r="D103" s="61" t="s">
        <v>43</v>
      </c>
      <c r="E103" s="61">
        <v>726</v>
      </c>
      <c r="F103" s="61">
        <v>37105</v>
      </c>
      <c r="G103" s="61">
        <v>14545160</v>
      </c>
      <c r="H103" s="61">
        <v>835232</v>
      </c>
      <c r="I103" s="61">
        <v>42318622</v>
      </c>
      <c r="J103" s="61" t="s">
        <v>78</v>
      </c>
    </row>
    <row r="104" spans="1:10" x14ac:dyDescent="0.25">
      <c r="A104" s="60" t="s">
        <v>49</v>
      </c>
      <c r="B104" s="60" t="s">
        <v>81</v>
      </c>
      <c r="C104" s="60" t="s">
        <v>225</v>
      </c>
      <c r="D104" s="60" t="s">
        <v>32</v>
      </c>
      <c r="E104" s="60">
        <v>1381</v>
      </c>
      <c r="F104" s="60">
        <v>13578</v>
      </c>
      <c r="G104" s="60">
        <v>5336154</v>
      </c>
      <c r="H104" s="60">
        <v>1442642</v>
      </c>
      <c r="I104" s="60">
        <v>25530014</v>
      </c>
      <c r="J104" s="60" t="s">
        <v>100</v>
      </c>
    </row>
    <row r="105" spans="1:10" x14ac:dyDescent="0.25">
      <c r="A105" s="61" t="s">
        <v>37</v>
      </c>
      <c r="B105" s="61" t="s">
        <v>92</v>
      </c>
      <c r="C105" s="61" t="s">
        <v>182</v>
      </c>
      <c r="D105" s="61" t="s">
        <v>40</v>
      </c>
      <c r="E105" s="61">
        <v>4279.8</v>
      </c>
      <c r="F105" s="61">
        <v>18095</v>
      </c>
      <c r="G105" s="61">
        <v>4089470</v>
      </c>
      <c r="H105" s="61">
        <v>1719569</v>
      </c>
      <c r="I105" s="61">
        <v>61125454</v>
      </c>
      <c r="J105" s="61" t="s">
        <v>102</v>
      </c>
    </row>
    <row r="106" spans="1:10" x14ac:dyDescent="0.25">
      <c r="A106" s="60" t="s">
        <v>34</v>
      </c>
      <c r="B106" s="60" t="s">
        <v>94</v>
      </c>
      <c r="C106" s="60" t="s">
        <v>183</v>
      </c>
      <c r="D106" s="60" t="s">
        <v>45</v>
      </c>
      <c r="E106" s="60">
        <v>2334</v>
      </c>
      <c r="F106" s="60">
        <v>16842</v>
      </c>
      <c r="G106" s="60">
        <v>6905220</v>
      </c>
      <c r="H106" s="60">
        <v>1067015</v>
      </c>
      <c r="I106" s="60">
        <v>47281463</v>
      </c>
      <c r="J106" s="60" t="s">
        <v>78</v>
      </c>
    </row>
    <row r="107" spans="1:10" x14ac:dyDescent="0.25">
      <c r="A107" s="61" t="s">
        <v>42</v>
      </c>
      <c r="B107" s="61" t="s">
        <v>79</v>
      </c>
      <c r="C107" s="61" t="s">
        <v>171</v>
      </c>
      <c r="D107" s="61" t="s">
        <v>13</v>
      </c>
      <c r="E107" s="61">
        <v>1823</v>
      </c>
      <c r="F107" s="61">
        <v>15513</v>
      </c>
      <c r="G107" s="61">
        <v>7539318</v>
      </c>
      <c r="H107" s="61">
        <v>3948781</v>
      </c>
      <c r="I107" s="61">
        <v>39768298</v>
      </c>
      <c r="J107" s="61" t="s">
        <v>85</v>
      </c>
    </row>
    <row r="108" spans="1:10" x14ac:dyDescent="0.25">
      <c r="A108" s="60" t="s">
        <v>34</v>
      </c>
      <c r="B108" s="60" t="s">
        <v>95</v>
      </c>
      <c r="C108" s="60" t="s">
        <v>189</v>
      </c>
      <c r="D108" s="60" t="s">
        <v>13</v>
      </c>
      <c r="E108" s="60">
        <v>2948</v>
      </c>
      <c r="F108" s="60">
        <v>9316</v>
      </c>
      <c r="G108" s="60">
        <v>1266976</v>
      </c>
      <c r="H108" s="60">
        <v>2704822</v>
      </c>
      <c r="I108" s="60">
        <v>31435366</v>
      </c>
      <c r="J108" s="60" t="s">
        <v>76</v>
      </c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6149-A13F-4AD0-95D3-8FC9849B65E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Dashboard</vt:lpstr>
      <vt:lpstr>🎤 Artist Analysis</vt:lpstr>
      <vt:lpstr>🎪 Festival Analysis</vt:lpstr>
      <vt:lpstr>📍 City &amp; Monthly Trends</vt:lpstr>
      <vt:lpstr>🔍 Key Insights</vt:lpstr>
      <vt:lpstr>📄 Artist Data</vt:lpstr>
      <vt:lpstr>📄 Festival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Mehool Chakravarti</cp:lastModifiedBy>
  <cp:revision>1</cp:revision>
  <dcterms:created xsi:type="dcterms:W3CDTF">2026-06-07T14:33:21Z</dcterms:created>
  <dcterms:modified xsi:type="dcterms:W3CDTF">2026-06-09T12:38:00Z</dcterms:modified>
  <dc:language>en-US</dc:language>
</cp:coreProperties>
</file>