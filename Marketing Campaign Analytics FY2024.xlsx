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 portfolio\excel\"/>
    </mc:Choice>
  </mc:AlternateContent>
  <xr:revisionPtr revIDLastSave="0" documentId="8_{3ECEE15C-034B-4811-9E13-4482217087D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KPI Dashboard" sheetId="1" r:id="rId1"/>
    <sheet name="Campaign Data" sheetId="2" r:id="rId2"/>
    <sheet name="Channel Performance" sheetId="3" r:id="rId3"/>
    <sheet name="Monthly Trends" sheetId="4" r:id="rId4"/>
    <sheet name="Objective Analysis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5" l="1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G9" i="5"/>
  <c r="F9" i="5"/>
  <c r="E9" i="5"/>
  <c r="D9" i="5"/>
  <c r="C9" i="5"/>
  <c r="B9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I15" i="4"/>
  <c r="H15" i="4"/>
  <c r="G15" i="4"/>
  <c r="F15" i="4"/>
  <c r="E15" i="4"/>
  <c r="D15" i="4"/>
  <c r="C15" i="4"/>
  <c r="I14" i="4"/>
  <c r="H14" i="4"/>
  <c r="G14" i="4"/>
  <c r="F14" i="4"/>
  <c r="E14" i="4"/>
  <c r="D14" i="4"/>
  <c r="C14" i="4"/>
  <c r="I13" i="4"/>
  <c r="H13" i="4"/>
  <c r="G13" i="4"/>
  <c r="F13" i="4"/>
  <c r="E13" i="4"/>
  <c r="D13" i="4"/>
  <c r="C13" i="4"/>
  <c r="I12" i="4"/>
  <c r="H12" i="4"/>
  <c r="G12" i="4"/>
  <c r="F12" i="4"/>
  <c r="E12" i="4"/>
  <c r="D12" i="4"/>
  <c r="C12" i="4"/>
  <c r="I11" i="4"/>
  <c r="H11" i="4"/>
  <c r="G11" i="4"/>
  <c r="F11" i="4"/>
  <c r="E11" i="4"/>
  <c r="D11" i="4"/>
  <c r="C11" i="4"/>
  <c r="I10" i="4"/>
  <c r="H10" i="4"/>
  <c r="G10" i="4"/>
  <c r="F10" i="4"/>
  <c r="E10" i="4"/>
  <c r="D10" i="4"/>
  <c r="C10" i="4"/>
  <c r="I9" i="4"/>
  <c r="H9" i="4"/>
  <c r="G9" i="4"/>
  <c r="F9" i="4"/>
  <c r="E9" i="4"/>
  <c r="D9" i="4"/>
  <c r="C9" i="4"/>
  <c r="I8" i="4"/>
  <c r="H8" i="4"/>
  <c r="G8" i="4"/>
  <c r="F8" i="4"/>
  <c r="E8" i="4"/>
  <c r="D8" i="4"/>
  <c r="C8" i="4"/>
  <c r="I7" i="4"/>
  <c r="H7" i="4"/>
  <c r="G7" i="4"/>
  <c r="F7" i="4"/>
  <c r="E7" i="4"/>
  <c r="D7" i="4"/>
  <c r="C7" i="4"/>
  <c r="I6" i="4"/>
  <c r="H6" i="4"/>
  <c r="G6" i="4"/>
  <c r="F6" i="4"/>
  <c r="E6" i="4"/>
  <c r="D6" i="4"/>
  <c r="C6" i="4"/>
  <c r="I5" i="4"/>
  <c r="H5" i="4"/>
  <c r="G5" i="4"/>
  <c r="F5" i="4"/>
  <c r="E5" i="4"/>
  <c r="D5" i="4"/>
  <c r="C5" i="4"/>
  <c r="K4" i="4"/>
  <c r="I4" i="4"/>
  <c r="H4" i="4"/>
  <c r="G4" i="4"/>
  <c r="F4" i="4"/>
  <c r="E4" i="4"/>
  <c r="D4" i="4"/>
  <c r="C4" i="4"/>
  <c r="L12" i="3"/>
  <c r="K12" i="3"/>
  <c r="I12" i="3"/>
  <c r="H12" i="3"/>
  <c r="G12" i="3"/>
  <c r="F12" i="3"/>
  <c r="D12" i="3"/>
  <c r="C12" i="3"/>
  <c r="B12" i="3"/>
  <c r="L11" i="3"/>
  <c r="K11" i="3"/>
  <c r="I11" i="3"/>
  <c r="H11" i="3"/>
  <c r="G11" i="3"/>
  <c r="F11" i="3"/>
  <c r="D11" i="3"/>
  <c r="C11" i="3"/>
  <c r="B11" i="3"/>
  <c r="L10" i="3"/>
  <c r="K10" i="3"/>
  <c r="I10" i="3"/>
  <c r="H10" i="3"/>
  <c r="G10" i="3"/>
  <c r="F10" i="3"/>
  <c r="D10" i="3"/>
  <c r="C10" i="3"/>
  <c r="B10" i="3"/>
  <c r="L9" i="3"/>
  <c r="K9" i="3"/>
  <c r="I9" i="3"/>
  <c r="H9" i="3"/>
  <c r="G9" i="3"/>
  <c r="F9" i="3"/>
  <c r="D9" i="3"/>
  <c r="C9" i="3"/>
  <c r="B9" i="3"/>
  <c r="L8" i="3"/>
  <c r="K8" i="3"/>
  <c r="I8" i="3"/>
  <c r="H8" i="3"/>
  <c r="G8" i="3"/>
  <c r="F8" i="3"/>
  <c r="D8" i="3"/>
  <c r="C8" i="3"/>
  <c r="B8" i="3"/>
  <c r="L7" i="3"/>
  <c r="K7" i="3"/>
  <c r="I7" i="3"/>
  <c r="H7" i="3"/>
  <c r="G7" i="3"/>
  <c r="F7" i="3"/>
  <c r="D7" i="3"/>
  <c r="C7" i="3"/>
  <c r="B7" i="3"/>
  <c r="L6" i="3"/>
  <c r="K6" i="3"/>
  <c r="I6" i="3"/>
  <c r="H6" i="3"/>
  <c r="G6" i="3"/>
  <c r="F6" i="3"/>
  <c r="D6" i="3"/>
  <c r="C6" i="3"/>
  <c r="B6" i="3"/>
  <c r="L5" i="3"/>
  <c r="K5" i="3"/>
  <c r="I5" i="3"/>
  <c r="H5" i="3"/>
  <c r="G5" i="3"/>
  <c r="F5" i="3"/>
  <c r="D5" i="3"/>
  <c r="C5" i="3"/>
  <c r="B5" i="3"/>
  <c r="T81" i="2"/>
  <c r="S81" i="2"/>
  <c r="R81" i="2"/>
  <c r="Q81" i="2"/>
  <c r="P81" i="2"/>
  <c r="T80" i="2"/>
  <c r="S80" i="2"/>
  <c r="R80" i="2"/>
  <c r="Q80" i="2"/>
  <c r="P80" i="2"/>
  <c r="T79" i="2"/>
  <c r="S79" i="2"/>
  <c r="R79" i="2"/>
  <c r="Q79" i="2"/>
  <c r="P79" i="2"/>
  <c r="T78" i="2"/>
  <c r="S78" i="2"/>
  <c r="R78" i="2"/>
  <c r="Q78" i="2"/>
  <c r="P78" i="2"/>
  <c r="T77" i="2"/>
  <c r="S77" i="2"/>
  <c r="R77" i="2"/>
  <c r="Q77" i="2"/>
  <c r="P77" i="2"/>
  <c r="T76" i="2"/>
  <c r="S76" i="2"/>
  <c r="R76" i="2"/>
  <c r="Q76" i="2"/>
  <c r="P76" i="2"/>
  <c r="T75" i="2"/>
  <c r="S75" i="2"/>
  <c r="R75" i="2"/>
  <c r="Q75" i="2"/>
  <c r="P75" i="2"/>
  <c r="T74" i="2"/>
  <c r="S74" i="2"/>
  <c r="R74" i="2"/>
  <c r="Q74" i="2"/>
  <c r="P74" i="2"/>
  <c r="T73" i="2"/>
  <c r="S73" i="2"/>
  <c r="R73" i="2"/>
  <c r="Q73" i="2"/>
  <c r="P73" i="2"/>
  <c r="T72" i="2"/>
  <c r="S72" i="2"/>
  <c r="R72" i="2"/>
  <c r="Q72" i="2"/>
  <c r="P72" i="2"/>
  <c r="T71" i="2"/>
  <c r="S71" i="2"/>
  <c r="R71" i="2"/>
  <c r="Q71" i="2"/>
  <c r="P71" i="2"/>
  <c r="T70" i="2"/>
  <c r="S70" i="2"/>
  <c r="R70" i="2"/>
  <c r="Q70" i="2"/>
  <c r="P70" i="2"/>
  <c r="T69" i="2"/>
  <c r="S69" i="2"/>
  <c r="R69" i="2"/>
  <c r="Q69" i="2"/>
  <c r="P69" i="2"/>
  <c r="T68" i="2"/>
  <c r="S68" i="2"/>
  <c r="R68" i="2"/>
  <c r="Q68" i="2"/>
  <c r="P68" i="2"/>
  <c r="T67" i="2"/>
  <c r="S67" i="2"/>
  <c r="R67" i="2"/>
  <c r="Q67" i="2"/>
  <c r="P67" i="2"/>
  <c r="T66" i="2"/>
  <c r="S66" i="2"/>
  <c r="R66" i="2"/>
  <c r="Q66" i="2"/>
  <c r="P66" i="2"/>
  <c r="T65" i="2"/>
  <c r="S65" i="2"/>
  <c r="R65" i="2"/>
  <c r="Q65" i="2"/>
  <c r="P65" i="2"/>
  <c r="T64" i="2"/>
  <c r="S64" i="2"/>
  <c r="R64" i="2"/>
  <c r="Q64" i="2"/>
  <c r="P64" i="2"/>
  <c r="T63" i="2"/>
  <c r="S63" i="2"/>
  <c r="R63" i="2"/>
  <c r="Q63" i="2"/>
  <c r="P63" i="2"/>
  <c r="T62" i="2"/>
  <c r="S62" i="2"/>
  <c r="R62" i="2"/>
  <c r="Q62" i="2"/>
  <c r="P62" i="2"/>
  <c r="T61" i="2"/>
  <c r="S61" i="2"/>
  <c r="R61" i="2"/>
  <c r="Q61" i="2"/>
  <c r="P61" i="2"/>
  <c r="T60" i="2"/>
  <c r="S60" i="2"/>
  <c r="R60" i="2"/>
  <c r="Q60" i="2"/>
  <c r="P60" i="2"/>
  <c r="T59" i="2"/>
  <c r="S59" i="2"/>
  <c r="R59" i="2"/>
  <c r="Q59" i="2"/>
  <c r="P59" i="2"/>
  <c r="T58" i="2"/>
  <c r="S58" i="2"/>
  <c r="R58" i="2"/>
  <c r="Q58" i="2"/>
  <c r="P58" i="2"/>
  <c r="T57" i="2"/>
  <c r="S57" i="2"/>
  <c r="R57" i="2"/>
  <c r="Q57" i="2"/>
  <c r="P57" i="2"/>
  <c r="T56" i="2"/>
  <c r="S56" i="2"/>
  <c r="R56" i="2"/>
  <c r="Q56" i="2"/>
  <c r="P56" i="2"/>
  <c r="T55" i="2"/>
  <c r="S55" i="2"/>
  <c r="R55" i="2"/>
  <c r="Q55" i="2"/>
  <c r="P55" i="2"/>
  <c r="T54" i="2"/>
  <c r="S54" i="2"/>
  <c r="R54" i="2"/>
  <c r="Q54" i="2"/>
  <c r="P54" i="2"/>
  <c r="T53" i="2"/>
  <c r="S53" i="2"/>
  <c r="R53" i="2"/>
  <c r="Q53" i="2"/>
  <c r="P53" i="2"/>
  <c r="T52" i="2"/>
  <c r="S52" i="2"/>
  <c r="R52" i="2"/>
  <c r="Q52" i="2"/>
  <c r="P52" i="2"/>
  <c r="T51" i="2"/>
  <c r="S51" i="2"/>
  <c r="R51" i="2"/>
  <c r="Q51" i="2"/>
  <c r="P51" i="2"/>
  <c r="T50" i="2"/>
  <c r="S50" i="2"/>
  <c r="R50" i="2"/>
  <c r="Q50" i="2"/>
  <c r="P50" i="2"/>
  <c r="T49" i="2"/>
  <c r="S49" i="2"/>
  <c r="R49" i="2"/>
  <c r="Q49" i="2"/>
  <c r="P49" i="2"/>
  <c r="T48" i="2"/>
  <c r="S48" i="2"/>
  <c r="R48" i="2"/>
  <c r="Q48" i="2"/>
  <c r="P48" i="2"/>
  <c r="T47" i="2"/>
  <c r="S47" i="2"/>
  <c r="R47" i="2"/>
  <c r="Q47" i="2"/>
  <c r="P47" i="2"/>
  <c r="T46" i="2"/>
  <c r="S46" i="2"/>
  <c r="R46" i="2"/>
  <c r="Q46" i="2"/>
  <c r="P46" i="2"/>
  <c r="T45" i="2"/>
  <c r="S45" i="2"/>
  <c r="R45" i="2"/>
  <c r="Q45" i="2"/>
  <c r="P45" i="2"/>
  <c r="T44" i="2"/>
  <c r="S44" i="2"/>
  <c r="R44" i="2"/>
  <c r="Q44" i="2"/>
  <c r="P44" i="2"/>
  <c r="T43" i="2"/>
  <c r="S43" i="2"/>
  <c r="R43" i="2"/>
  <c r="Q43" i="2"/>
  <c r="P43" i="2"/>
  <c r="T42" i="2"/>
  <c r="S42" i="2"/>
  <c r="R42" i="2"/>
  <c r="Q42" i="2"/>
  <c r="P42" i="2"/>
  <c r="T41" i="2"/>
  <c r="S41" i="2"/>
  <c r="R41" i="2"/>
  <c r="Q41" i="2"/>
  <c r="P41" i="2"/>
  <c r="T40" i="2"/>
  <c r="S40" i="2"/>
  <c r="R40" i="2"/>
  <c r="Q40" i="2"/>
  <c r="P40" i="2"/>
  <c r="T39" i="2"/>
  <c r="S39" i="2"/>
  <c r="R39" i="2"/>
  <c r="Q39" i="2"/>
  <c r="P39" i="2"/>
  <c r="T38" i="2"/>
  <c r="S38" i="2"/>
  <c r="R38" i="2"/>
  <c r="Q38" i="2"/>
  <c r="P38" i="2"/>
  <c r="T37" i="2"/>
  <c r="S37" i="2"/>
  <c r="R37" i="2"/>
  <c r="Q37" i="2"/>
  <c r="P37" i="2"/>
  <c r="T36" i="2"/>
  <c r="S36" i="2"/>
  <c r="R36" i="2"/>
  <c r="Q36" i="2"/>
  <c r="P36" i="2"/>
  <c r="T35" i="2"/>
  <c r="S35" i="2"/>
  <c r="R35" i="2"/>
  <c r="Q35" i="2"/>
  <c r="P35" i="2"/>
  <c r="T34" i="2"/>
  <c r="S34" i="2"/>
  <c r="R34" i="2"/>
  <c r="Q34" i="2"/>
  <c r="P34" i="2"/>
  <c r="T33" i="2"/>
  <c r="S33" i="2"/>
  <c r="R33" i="2"/>
  <c r="Q33" i="2"/>
  <c r="P33" i="2"/>
  <c r="T32" i="2"/>
  <c r="S32" i="2"/>
  <c r="R32" i="2"/>
  <c r="Q32" i="2"/>
  <c r="P32" i="2"/>
  <c r="T31" i="2"/>
  <c r="S31" i="2"/>
  <c r="R31" i="2"/>
  <c r="Q31" i="2"/>
  <c r="P31" i="2"/>
  <c r="T30" i="2"/>
  <c r="S30" i="2"/>
  <c r="R30" i="2"/>
  <c r="Q30" i="2"/>
  <c r="P30" i="2"/>
  <c r="T29" i="2"/>
  <c r="S29" i="2"/>
  <c r="R29" i="2"/>
  <c r="Q29" i="2"/>
  <c r="P29" i="2"/>
  <c r="T28" i="2"/>
  <c r="S28" i="2"/>
  <c r="R28" i="2"/>
  <c r="Q28" i="2"/>
  <c r="P28" i="2"/>
  <c r="T27" i="2"/>
  <c r="S27" i="2"/>
  <c r="R27" i="2"/>
  <c r="Q27" i="2"/>
  <c r="P27" i="2"/>
  <c r="T26" i="2"/>
  <c r="S26" i="2"/>
  <c r="R26" i="2"/>
  <c r="Q26" i="2"/>
  <c r="P26" i="2"/>
  <c r="T25" i="2"/>
  <c r="S25" i="2"/>
  <c r="R25" i="2"/>
  <c r="Q25" i="2"/>
  <c r="P25" i="2"/>
  <c r="T24" i="2"/>
  <c r="S24" i="2"/>
  <c r="R24" i="2"/>
  <c r="Q24" i="2"/>
  <c r="P24" i="2"/>
  <c r="T23" i="2"/>
  <c r="S23" i="2"/>
  <c r="R23" i="2"/>
  <c r="Q23" i="2"/>
  <c r="P23" i="2"/>
  <c r="T22" i="2"/>
  <c r="S22" i="2"/>
  <c r="R22" i="2"/>
  <c r="Q22" i="2"/>
  <c r="P22" i="2"/>
  <c r="T21" i="2"/>
  <c r="S21" i="2"/>
  <c r="R21" i="2"/>
  <c r="Q21" i="2"/>
  <c r="P21" i="2"/>
  <c r="T20" i="2"/>
  <c r="S20" i="2"/>
  <c r="R20" i="2"/>
  <c r="Q20" i="2"/>
  <c r="P20" i="2"/>
  <c r="T19" i="2"/>
  <c r="S19" i="2"/>
  <c r="R19" i="2"/>
  <c r="Q19" i="2"/>
  <c r="P19" i="2"/>
  <c r="T18" i="2"/>
  <c r="S18" i="2"/>
  <c r="R18" i="2"/>
  <c r="Q18" i="2"/>
  <c r="P18" i="2"/>
  <c r="T17" i="2"/>
  <c r="S17" i="2"/>
  <c r="R17" i="2"/>
  <c r="Q17" i="2"/>
  <c r="P17" i="2"/>
  <c r="T16" i="2"/>
  <c r="S16" i="2"/>
  <c r="R16" i="2"/>
  <c r="Q16" i="2"/>
  <c r="P16" i="2"/>
  <c r="T15" i="2"/>
  <c r="S15" i="2"/>
  <c r="R15" i="2"/>
  <c r="Q15" i="2"/>
  <c r="P15" i="2"/>
  <c r="T14" i="2"/>
  <c r="S14" i="2"/>
  <c r="R14" i="2"/>
  <c r="Q14" i="2"/>
  <c r="P14" i="2"/>
  <c r="T13" i="2"/>
  <c r="S13" i="2"/>
  <c r="R13" i="2"/>
  <c r="Q13" i="2"/>
  <c r="P13" i="2"/>
  <c r="T12" i="2"/>
  <c r="S12" i="2"/>
  <c r="R12" i="2"/>
  <c r="Q12" i="2"/>
  <c r="P12" i="2"/>
  <c r="T11" i="2"/>
  <c r="S11" i="2"/>
  <c r="R11" i="2"/>
  <c r="Q11" i="2"/>
  <c r="P11" i="2"/>
  <c r="T10" i="2"/>
  <c r="S10" i="2"/>
  <c r="R10" i="2"/>
  <c r="Q10" i="2"/>
  <c r="P10" i="2"/>
  <c r="T9" i="2"/>
  <c r="S9" i="2"/>
  <c r="R9" i="2"/>
  <c r="Q9" i="2"/>
  <c r="P9" i="2"/>
  <c r="T8" i="2"/>
  <c r="S8" i="2"/>
  <c r="R8" i="2"/>
  <c r="Q8" i="2"/>
  <c r="P8" i="2"/>
  <c r="T7" i="2"/>
  <c r="S7" i="2"/>
  <c r="R7" i="2"/>
  <c r="Q7" i="2"/>
  <c r="P7" i="2"/>
  <c r="T6" i="2"/>
  <c r="S6" i="2"/>
  <c r="R6" i="2"/>
  <c r="Q6" i="2"/>
  <c r="P6" i="2"/>
  <c r="T5" i="2"/>
  <c r="S5" i="2"/>
  <c r="R5" i="2"/>
  <c r="Q5" i="2"/>
  <c r="P5" i="2"/>
  <c r="T4" i="2"/>
  <c r="S4" i="2"/>
  <c r="R4" i="2"/>
  <c r="Q4" i="2"/>
  <c r="P4" i="2"/>
  <c r="T3" i="2"/>
  <c r="S3" i="2"/>
  <c r="R3" i="2"/>
  <c r="Q3" i="2"/>
  <c r="P3" i="2"/>
  <c r="T2" i="2"/>
  <c r="S2" i="2"/>
  <c r="R2" i="2"/>
  <c r="Q2" i="2"/>
  <c r="P2" i="2"/>
  <c r="B22" i="1"/>
  <c r="B21" i="1"/>
  <c r="B20" i="1"/>
  <c r="B19" i="1"/>
  <c r="B18" i="1"/>
  <c r="B17" i="1"/>
  <c r="B16" i="1"/>
  <c r="B15" i="1"/>
  <c r="B14" i="1"/>
  <c r="B13" i="1"/>
  <c r="P6" i="1"/>
  <c r="M6" i="1"/>
  <c r="J6" i="1"/>
  <c r="G6" i="1"/>
  <c r="D6" i="1"/>
  <c r="A6" i="1"/>
  <c r="I39" i="5" l="1"/>
  <c r="H39" i="5"/>
  <c r="G39" i="5"/>
  <c r="F39" i="5"/>
  <c r="I35" i="5"/>
  <c r="H35" i="5"/>
  <c r="G35" i="5"/>
  <c r="F35" i="5"/>
  <c r="J10" i="5"/>
  <c r="I10" i="5"/>
  <c r="G10" i="5"/>
  <c r="F10" i="5"/>
  <c r="C10" i="5"/>
  <c r="B10" i="5"/>
  <c r="H9" i="5"/>
  <c r="J12" i="4"/>
  <c r="E10" i="3"/>
  <c r="E5" i="3"/>
  <c r="J6" i="5"/>
  <c r="I6" i="5"/>
  <c r="H6" i="5"/>
  <c r="H16" i="4"/>
  <c r="E16" i="4"/>
  <c r="C16" i="4"/>
  <c r="J15" i="4"/>
  <c r="K13" i="4"/>
  <c r="E9" i="3"/>
  <c r="K8" i="4"/>
  <c r="J8" i="4"/>
  <c r="K7" i="4"/>
  <c r="J7" i="4"/>
  <c r="K6" i="4"/>
  <c r="J6" i="4"/>
  <c r="K5" i="4"/>
  <c r="J5" i="4"/>
  <c r="J7" i="3"/>
  <c r="I13" i="3"/>
  <c r="H13" i="3"/>
  <c r="G13" i="3"/>
  <c r="F13" i="3"/>
  <c r="E13" i="3"/>
  <c r="D13" i="3"/>
  <c r="C13" i="3"/>
  <c r="B13" i="3"/>
  <c r="J12" i="3"/>
  <c r="E12" i="3"/>
  <c r="J11" i="3"/>
  <c r="E11" i="3"/>
  <c r="J6" i="3"/>
  <c r="I38" i="5"/>
  <c r="H38" i="5"/>
  <c r="G38" i="5"/>
  <c r="F38" i="5"/>
  <c r="H37" i="5"/>
  <c r="G37" i="5"/>
  <c r="F37" i="5"/>
  <c r="H10" i="5"/>
  <c r="D10" i="5"/>
  <c r="I9" i="5"/>
  <c r="J13" i="4"/>
  <c r="J9" i="3"/>
  <c r="D17" i="1"/>
  <c r="J13" i="3"/>
  <c r="J5" i="3"/>
  <c r="D21" i="1"/>
  <c r="D20" i="1"/>
  <c r="D14" i="1"/>
  <c r="D13" i="1"/>
  <c r="I32" i="5"/>
  <c r="H32" i="5"/>
  <c r="G32" i="5"/>
  <c r="F32" i="5"/>
  <c r="J8" i="5"/>
  <c r="I8" i="5"/>
  <c r="H8" i="5"/>
  <c r="J16" i="4"/>
  <c r="I16" i="4"/>
  <c r="G16" i="4"/>
  <c r="F16" i="4"/>
  <c r="D16" i="4"/>
  <c r="K15" i="4"/>
  <c r="K14" i="4"/>
  <c r="J14" i="4"/>
  <c r="J9" i="4"/>
  <c r="J4" i="4"/>
  <c r="J10" i="3"/>
  <c r="I36" i="5"/>
  <c r="G36" i="5"/>
  <c r="E10" i="5"/>
  <c r="J5" i="5"/>
  <c r="I5" i="5"/>
  <c r="H5" i="5"/>
  <c r="E8" i="3"/>
  <c r="E6" i="3"/>
  <c r="D15" i="1"/>
  <c r="D16" i="1"/>
  <c r="H36" i="5"/>
  <c r="F36" i="5"/>
  <c r="I33" i="5"/>
  <c r="G33" i="5"/>
  <c r="F33" i="5"/>
  <c r="K12" i="4"/>
  <c r="K10" i="4"/>
  <c r="J10" i="4"/>
  <c r="J8" i="3"/>
  <c r="D22" i="1"/>
  <c r="I37" i="5"/>
  <c r="I34" i="5"/>
  <c r="H34" i="5"/>
  <c r="G34" i="5"/>
  <c r="F34" i="5"/>
  <c r="H33" i="5"/>
  <c r="J11" i="4"/>
  <c r="L13" i="3"/>
  <c r="E7" i="3"/>
  <c r="D19" i="1"/>
  <c r="K11" i="4"/>
  <c r="K9" i="4"/>
  <c r="D18" i="1"/>
  <c r="J9" i="5"/>
  <c r="K13" i="3"/>
</calcChain>
</file>

<file path=xl/sharedStrings.xml><?xml version="1.0" encoding="utf-8"?>
<sst xmlns="http://schemas.openxmlformats.org/spreadsheetml/2006/main" count="885" uniqueCount="297">
  <si>
    <t>📊  MARKETING CAMPAIGN PERFORMANCE  ·  KPI DASHBOARD  ·  FY 2024</t>
  </si>
  <si>
    <t>All monetary values in Indian Rupees (₹)  ·  Data source: Campaign Data sheet  ·  Metrics auto-refresh on data change</t>
  </si>
  <si>
    <t>TOTAL REVENUE</t>
  </si>
  <si>
    <t>TOTAL SPEND</t>
  </si>
  <si>
    <t>OVERALL ROAS</t>
  </si>
  <si>
    <t>TOTAL CLICKS</t>
  </si>
  <si>
    <t>CONVERSIONS</t>
  </si>
  <si>
    <t>TOTAL LEADS</t>
  </si>
  <si>
    <t>Completed Campaigns</t>
  </si>
  <si>
    <t>All Active</t>
  </si>
  <si>
    <t>Revenue / Spend</t>
  </si>
  <si>
    <t>Across All Channels</t>
  </si>
  <si>
    <t>All Campaigns</t>
  </si>
  <si>
    <t>Pipeline Generated</t>
  </si>
  <si>
    <t>QUICK PERFORMANCE INSIGHTS</t>
  </si>
  <si>
    <t>KPI</t>
  </si>
  <si>
    <t>Value</t>
  </si>
  <si>
    <t>Target</t>
  </si>
  <si>
    <t>vs Target</t>
  </si>
  <si>
    <t>Status</t>
  </si>
  <si>
    <t>Total Campaigns Launched</t>
  </si>
  <si>
    <t>✅ On Track</t>
  </si>
  <si>
    <t>Total Budget Allocated (₹)</t>
  </si>
  <si>
    <t>Overall Budget Utilisation</t>
  </si>
  <si>
    <t>Blended ROAS</t>
  </si>
  <si>
    <t>Total Impressions</t>
  </si>
  <si>
    <t>Avg Click-Through Rate (%)</t>
  </si>
  <si>
    <t>Avg Conversion Rate (%)</t>
  </si>
  <si>
    <t>Cost per Conversion (₹)</t>
  </si>
  <si>
    <t>Cost per Lead (₹)</t>
  </si>
  <si>
    <t>Return on Ad Spend — Email</t>
  </si>
  <si>
    <t>📌  STRATEGIC RECOMMENDATIONS</t>
  </si>
  <si>
    <t>▸ Email marketing delivers the highest ROAS — scale budget allocation by 20% in Q1 2025.</t>
  </si>
  <si>
    <t>▸ LinkedIn and YouTube show below-average CTR; review creative assets and audience targeting.</t>
  </si>
  <si>
    <t>▸ Q4 campaigns (Oct–Dec) consistently outperform — front-load inventory and budget for festive season.</t>
  </si>
  <si>
    <t>▸ Conversion objective campaigns show the best cost-per-lead; increase share of spend from 20% → 30%.</t>
  </si>
  <si>
    <t>▸ Influencer channel drives high impressions but low CVR; shift to performance-linked contracts.</t>
  </si>
  <si>
    <t>NAVIGATE:  KPI Dashboard  ·  Channel Performance  ·  Monthly Trends  ·  Objective Analysis  ·  Campaign Data</t>
  </si>
  <si>
    <t>Campaign ID</t>
  </si>
  <si>
    <t>Campaign Name</t>
  </si>
  <si>
    <t>Channel</t>
  </si>
  <si>
    <t>Objective</t>
  </si>
  <si>
    <t>Quarter</t>
  </si>
  <si>
    <t>Month</t>
  </si>
  <si>
    <t>Start Date</t>
  </si>
  <si>
    <t>End Date</t>
  </si>
  <si>
    <t>Budget (₹)</t>
  </si>
  <si>
    <t>Spend (₹)</t>
  </si>
  <si>
    <t>Impressions</t>
  </si>
  <si>
    <t>Clicks</t>
  </si>
  <si>
    <t>Conversions</t>
  </si>
  <si>
    <t>Revenue Generated (₹)</t>
  </si>
  <si>
    <t>Leads</t>
  </si>
  <si>
    <t>Cost per Click (₹)</t>
  </si>
  <si>
    <t>CTR (%)</t>
  </si>
  <si>
    <t>Conv Rate (%)</t>
  </si>
  <si>
    <t>ROAS</t>
  </si>
  <si>
    <t>CMP-0001</t>
  </si>
  <si>
    <t>SMS Jan 2024</t>
  </si>
  <si>
    <t>SMS</t>
  </si>
  <si>
    <t>Traffic</t>
  </si>
  <si>
    <t>Q1</t>
  </si>
  <si>
    <t>Jan</t>
  </si>
  <si>
    <t>2024-01-01</t>
  </si>
  <si>
    <t>2024-01-28</t>
  </si>
  <si>
    <t>Completed</t>
  </si>
  <si>
    <t>CMP-0002</t>
  </si>
  <si>
    <t>SEO/Organic Jan 2024</t>
  </si>
  <si>
    <t>SEO/Organic</t>
  </si>
  <si>
    <t>Brand Awareness</t>
  </si>
  <si>
    <t>CMP-0003</t>
  </si>
  <si>
    <t>Email Jan 2024</t>
  </si>
  <si>
    <t>Email</t>
  </si>
  <si>
    <t>CMP-0004</t>
  </si>
  <si>
    <t>YouTube Jan 2024</t>
  </si>
  <si>
    <t>YouTube</t>
  </si>
  <si>
    <t>Retention</t>
  </si>
  <si>
    <t>CMP-0005</t>
  </si>
  <si>
    <t>LinkedIn Jan 2024</t>
  </si>
  <si>
    <t>LinkedIn</t>
  </si>
  <si>
    <t>CMP-0006</t>
  </si>
  <si>
    <t>Meta Ads Jan 2024</t>
  </si>
  <si>
    <t>Meta Ads</t>
  </si>
  <si>
    <t>Lead Generation</t>
  </si>
  <si>
    <t>CMP-0007</t>
  </si>
  <si>
    <t>Email Feb 2024</t>
  </si>
  <si>
    <t>Feb</t>
  </si>
  <si>
    <t>2024-02-01</t>
  </si>
  <si>
    <t>2024-02-28</t>
  </si>
  <si>
    <t>CMP-0008</t>
  </si>
  <si>
    <t>Google Ads Feb 2024</t>
  </si>
  <si>
    <t>Google Ads</t>
  </si>
  <si>
    <t>CMP-0009</t>
  </si>
  <si>
    <t>YouTube Feb 2024</t>
  </si>
  <si>
    <t>CMP-0010</t>
  </si>
  <si>
    <t>LinkedIn Feb 2024</t>
  </si>
  <si>
    <t>CMP-0011</t>
  </si>
  <si>
    <t>Influencer Feb 2024</t>
  </si>
  <si>
    <t>Influencer</t>
  </si>
  <si>
    <t>CMP-0012</t>
  </si>
  <si>
    <t>YouTube Mar 2024</t>
  </si>
  <si>
    <t>Mar</t>
  </si>
  <si>
    <t>2024-03-01</t>
  </si>
  <si>
    <t>2024-03-28</t>
  </si>
  <si>
    <t>CMP-0013</t>
  </si>
  <si>
    <t>Email Mar 2024</t>
  </si>
  <si>
    <t>CMP-0014</t>
  </si>
  <si>
    <t>SEO/Organic Mar 2024</t>
  </si>
  <si>
    <t>CMP-0015</t>
  </si>
  <si>
    <t>Meta Ads Mar 2024</t>
  </si>
  <si>
    <t>CMP-0016</t>
  </si>
  <si>
    <t>LinkedIn Mar 2024</t>
  </si>
  <si>
    <t>CMP-0017</t>
  </si>
  <si>
    <t>Influencer Mar 2024</t>
  </si>
  <si>
    <t>CMP-0018</t>
  </si>
  <si>
    <t>Google Ads Mar 2024</t>
  </si>
  <si>
    <t>CMP-0019</t>
  </si>
  <si>
    <t>SMS Apr 2024</t>
  </si>
  <si>
    <t>Q2</t>
  </si>
  <si>
    <t>Apr</t>
  </si>
  <si>
    <t>2024-04-01</t>
  </si>
  <si>
    <t>2024-04-28</t>
  </si>
  <si>
    <t>CMP-0020</t>
  </si>
  <si>
    <t>SEO/Organic Apr 2024</t>
  </si>
  <si>
    <t>CMP-0021</t>
  </si>
  <si>
    <t>Email Apr 2024</t>
  </si>
  <si>
    <t>CMP-0022</t>
  </si>
  <si>
    <t>Influencer Apr 2024</t>
  </si>
  <si>
    <t>CMP-0023</t>
  </si>
  <si>
    <t>Meta Ads Apr 2024</t>
  </si>
  <si>
    <t>CMP-0024</t>
  </si>
  <si>
    <t>Google Ads Apr 2024</t>
  </si>
  <si>
    <t>CMP-0025</t>
  </si>
  <si>
    <t>LinkedIn Apr 2024</t>
  </si>
  <si>
    <t>CMP-0026</t>
  </si>
  <si>
    <t>Email May 2024</t>
  </si>
  <si>
    <t>May</t>
  </si>
  <si>
    <t>2024-05-01</t>
  </si>
  <si>
    <t>2024-05-28</t>
  </si>
  <si>
    <t>CMP-0027</t>
  </si>
  <si>
    <t>Meta Ads May 2024</t>
  </si>
  <si>
    <t>CMP-0028</t>
  </si>
  <si>
    <t>Influencer May 2024</t>
  </si>
  <si>
    <t>CMP-0029</t>
  </si>
  <si>
    <t>Google Ads May 2024</t>
  </si>
  <si>
    <t>CMP-0030</t>
  </si>
  <si>
    <t>SMS May 2024</t>
  </si>
  <si>
    <t>CMP-0031</t>
  </si>
  <si>
    <t>LinkedIn May 2024</t>
  </si>
  <si>
    <t>CMP-0032</t>
  </si>
  <si>
    <t>SEO/Organic May 2024</t>
  </si>
  <si>
    <t>CMP-0033</t>
  </si>
  <si>
    <t>YouTube May 2024</t>
  </si>
  <si>
    <t>CMP-0034</t>
  </si>
  <si>
    <t>YouTube Jun 2024</t>
  </si>
  <si>
    <t>Jun</t>
  </si>
  <si>
    <t>2024-06-01</t>
  </si>
  <si>
    <t>2024-06-28</t>
  </si>
  <si>
    <t>CMP-0035</t>
  </si>
  <si>
    <t>Influencer Jun 2024</t>
  </si>
  <si>
    <t>CMP-0036</t>
  </si>
  <si>
    <t>Meta Ads Jun 2024</t>
  </si>
  <si>
    <t>CMP-0037</t>
  </si>
  <si>
    <t>SMS Jun 2024</t>
  </si>
  <si>
    <t>CMP-0038</t>
  </si>
  <si>
    <t>Google Ads Jun 2024</t>
  </si>
  <si>
    <t>CMP-0039</t>
  </si>
  <si>
    <t>SEO/Organic Jun 2024</t>
  </si>
  <si>
    <t>CMP-0040</t>
  </si>
  <si>
    <t>Email Jun 2024</t>
  </si>
  <si>
    <t>CMP-0041</t>
  </si>
  <si>
    <t>Google Ads Jul 2024</t>
  </si>
  <si>
    <t>Q3</t>
  </si>
  <si>
    <t>Jul</t>
  </si>
  <si>
    <t>2024-07-01</t>
  </si>
  <si>
    <t>2024-07-28</t>
  </si>
  <si>
    <t>CMP-0042</t>
  </si>
  <si>
    <t>YouTube Jul 2024</t>
  </si>
  <si>
    <t>CMP-0043</t>
  </si>
  <si>
    <t>Influencer Jul 2024</t>
  </si>
  <si>
    <t>CMP-0044</t>
  </si>
  <si>
    <t>Email Jul 2024</t>
  </si>
  <si>
    <t>CMP-0045</t>
  </si>
  <si>
    <t>SMS Jul 2024</t>
  </si>
  <si>
    <t>CMP-0046</t>
  </si>
  <si>
    <t>Meta Ads Jul 2024</t>
  </si>
  <si>
    <t>CMP-0047</t>
  </si>
  <si>
    <t>SEO/Organic Jul 2024</t>
  </si>
  <si>
    <t>CMP-0048</t>
  </si>
  <si>
    <t>Meta Ads Aug 2024</t>
  </si>
  <si>
    <t>Aug</t>
  </si>
  <si>
    <t>2024-08-01</t>
  </si>
  <si>
    <t>2024-08-28</t>
  </si>
  <si>
    <t>CMP-0049</t>
  </si>
  <si>
    <t>SEO/Organic Aug 2024</t>
  </si>
  <si>
    <t>CMP-0050</t>
  </si>
  <si>
    <t>SMS Aug 2024</t>
  </si>
  <si>
    <t>CMP-0051</t>
  </si>
  <si>
    <t>Email Aug 2024</t>
  </si>
  <si>
    <t>CMP-0052</t>
  </si>
  <si>
    <t>Influencer Aug 2024</t>
  </si>
  <si>
    <t>CMP-0053</t>
  </si>
  <si>
    <t>LinkedIn Aug 2024</t>
  </si>
  <si>
    <t>CMP-0054</t>
  </si>
  <si>
    <t>YouTube Aug 2024</t>
  </si>
  <si>
    <t>CMP-0055</t>
  </si>
  <si>
    <t>Influencer Sep 2024</t>
  </si>
  <si>
    <t>Sep</t>
  </si>
  <si>
    <t>2024-09-01</t>
  </si>
  <si>
    <t>2024-09-28</t>
  </si>
  <si>
    <t>CMP-0056</t>
  </si>
  <si>
    <t>LinkedIn Sep 2024</t>
  </si>
  <si>
    <t>CMP-0057</t>
  </si>
  <si>
    <t>SEO/Organic Sep 2024</t>
  </si>
  <si>
    <t>CMP-0058</t>
  </si>
  <si>
    <t>SMS Sep 2024</t>
  </si>
  <si>
    <t>CMP-0059</t>
  </si>
  <si>
    <t>YouTube Sep 2024</t>
  </si>
  <si>
    <t>CMP-0060</t>
  </si>
  <si>
    <t>Meta Ads Sep 2024</t>
  </si>
  <si>
    <t>CMP-0061</t>
  </si>
  <si>
    <t>Google Ads Sep 2024</t>
  </si>
  <si>
    <t>CMP-0062</t>
  </si>
  <si>
    <t>Email Sep 2024</t>
  </si>
  <si>
    <t>CMP-0063</t>
  </si>
  <si>
    <t>SEO/Organic Oct 2024</t>
  </si>
  <si>
    <t>Q4</t>
  </si>
  <si>
    <t>Oct</t>
  </si>
  <si>
    <t>2024-10-01</t>
  </si>
  <si>
    <t>2024-10-28</t>
  </si>
  <si>
    <t>CMP-0064</t>
  </si>
  <si>
    <t>Meta Ads Oct 2024</t>
  </si>
  <si>
    <t>CMP-0065</t>
  </si>
  <si>
    <t>YouTube Oct 2024</t>
  </si>
  <si>
    <t>CMP-0066</t>
  </si>
  <si>
    <t>LinkedIn Oct 2024</t>
  </si>
  <si>
    <t>CMP-0067</t>
  </si>
  <si>
    <t>SMS Oct 2024</t>
  </si>
  <si>
    <t>CMP-0068</t>
  </si>
  <si>
    <t>Influencer Oct 2024</t>
  </si>
  <si>
    <t>CMP-0069</t>
  </si>
  <si>
    <t>SEO/Organic Nov 2024</t>
  </si>
  <si>
    <t>Nov</t>
  </si>
  <si>
    <t>2024-11-01</t>
  </si>
  <si>
    <t>2024-11-28</t>
  </si>
  <si>
    <t>CMP-0070</t>
  </si>
  <si>
    <t>LinkedIn Nov 2024</t>
  </si>
  <si>
    <t>CMP-0071</t>
  </si>
  <si>
    <t>Meta Ads Nov 2024</t>
  </si>
  <si>
    <t>CMP-0072</t>
  </si>
  <si>
    <t>YouTube Nov 2024</t>
  </si>
  <si>
    <t>CMP-0073</t>
  </si>
  <si>
    <t>SMS Nov 2024</t>
  </si>
  <si>
    <t>CMP-0074</t>
  </si>
  <si>
    <t>Email Nov 2024</t>
  </si>
  <si>
    <t>CMP-0075</t>
  </si>
  <si>
    <t>Google Ads Nov 2024</t>
  </si>
  <si>
    <t>CMP-0076</t>
  </si>
  <si>
    <t>Google Ads Dec 2024</t>
  </si>
  <si>
    <t>Dec</t>
  </si>
  <si>
    <t>2024-12-01</t>
  </si>
  <si>
    <t>2024-12-28</t>
  </si>
  <si>
    <t>CMP-0077</t>
  </si>
  <si>
    <t>Email Dec 2024</t>
  </si>
  <si>
    <t>Active</t>
  </si>
  <si>
    <t>CMP-0078</t>
  </si>
  <si>
    <t>Meta Ads Dec 2024</t>
  </si>
  <si>
    <t>CMP-0079</t>
  </si>
  <si>
    <t>SEO/Organic Dec 2024</t>
  </si>
  <si>
    <t>CMP-0080</t>
  </si>
  <si>
    <t>Influencer Dec 2024</t>
  </si>
  <si>
    <t>📣  MARKETING CHANNEL PERFORMANCE DASHBOARD  —  FY 2024</t>
  </si>
  <si>
    <t>All figures in Indian Rupees (₹)  ·  Source: Campaign Data sheet  ·  Calculated fields auto-update</t>
  </si>
  <si>
    <t>Campaigns</t>
  </si>
  <si>
    <t>Total Budget (₹)</t>
  </si>
  <si>
    <t>Total Spend (₹)</t>
  </si>
  <si>
    <t>Budget Util %</t>
  </si>
  <si>
    <t>Total Revenue (₹)</t>
  </si>
  <si>
    <t>Avg ROAS</t>
  </si>
  <si>
    <t>Avg CTR %</t>
  </si>
  <si>
    <t>Avg Conv Rate %</t>
  </si>
  <si>
    <t>TOTAL / AVG</t>
  </si>
  <si>
    <t>📅  MONTHLY CAMPAIGN PERFORMANCE TRENDS  —  FY 2024</t>
  </si>
  <si>
    <t>Revenue (₹)</t>
  </si>
  <si>
    <t>MoM Rev Δ%</t>
  </si>
  <si>
    <t>FULL YEAR TOTAL</t>
  </si>
  <si>
    <t>—</t>
  </si>
  <si>
    <t>🎯  CAMPAIGN OBJECTIVE &amp; FUNNEL ANALYSIS  —  FY 2024</t>
  </si>
  <si>
    <t>Performance by Campaign Objective</t>
  </si>
  <si>
    <t>CPL (₹)</t>
  </si>
  <si>
    <t>CPA (₹)</t>
  </si>
  <si>
    <t>TOTAL</t>
  </si>
  <si>
    <t>Conversion Funnel Metrics by Channel</t>
  </si>
  <si>
    <t>Impr→Click%</t>
  </si>
  <si>
    <t>Click→Lead%</t>
  </si>
  <si>
    <t>Lead→Conv%</t>
  </si>
  <si>
    <t>Overall Conv%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</si>
</sst>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0\x"/>
    <numFmt numFmtId="166" formatCode="0.0%"/>
    <numFmt numFmtId="167" formatCode="\₹#,##0.00"/>
    <numFmt numFmtId="168" formatCode="0.0%;[Red]\-0.0%"/>
  </numFmts>
  <fonts count="2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F7B6C"/>
      <name val="Arial"/>
      <charset val="1"/>
    </font>
    <font>
      <sz val="10"/>
      <color rgb="FF000000"/>
      <name val="Arial"/>
      <charset val="1"/>
    </font>
    <font>
      <b/>
      <sz val="10"/>
      <color rgb="FF276749"/>
      <name val="Arial"/>
      <charset val="1"/>
    </font>
    <font>
      <sz val="9"/>
      <color rgb="FF000000"/>
      <name val="Arial"/>
      <charset val="1"/>
    </font>
    <font>
      <b/>
      <sz val="16"/>
      <color rgb="FFFFFFFF"/>
      <name val="Arial"/>
      <charset val="1"/>
    </font>
    <font>
      <b/>
      <sz val="10"/>
      <color rgb="FF2F80ED"/>
      <name val="Arial"/>
      <charset val="1"/>
    </font>
    <font>
      <b/>
      <sz val="10"/>
      <color rgb="FFD63864"/>
      <name val="Arial"/>
      <charset val="1"/>
    </font>
    <font>
      <b/>
      <sz val="10"/>
      <color rgb="FFE8631A"/>
      <name val="Arial"/>
      <charset val="1"/>
    </font>
    <font>
      <b/>
      <sz val="10"/>
      <color rgb="FF6C3FA0"/>
      <name val="Arial"/>
      <charset val="1"/>
    </font>
    <font>
      <b/>
      <sz val="10"/>
      <color rgb="FFF5A623"/>
      <name val="Arial"/>
      <charset val="1"/>
    </font>
    <font>
      <b/>
      <sz val="10"/>
      <color rgb="FF1B2A4A"/>
      <name val="Arial"/>
      <charset val="1"/>
    </font>
    <font>
      <b/>
      <sz val="10"/>
      <color rgb="FFE53E3E"/>
      <name val="Arial"/>
      <charset val="1"/>
    </font>
    <font>
      <b/>
      <sz val="15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2D3748"/>
      </patternFill>
    </fill>
    <fill>
      <patternFill patternType="solid">
        <fgColor rgb="FF0F7B6C"/>
        <bgColor rgb="FF276749"/>
      </patternFill>
    </fill>
    <fill>
      <patternFill patternType="solid">
        <fgColor rgb="FFE8631A"/>
        <bgColor rgb="FFE53E3E"/>
      </patternFill>
    </fill>
    <fill>
      <patternFill patternType="solid">
        <fgColor rgb="FF2F80ED"/>
        <bgColor rgb="FF4F81BD"/>
      </patternFill>
    </fill>
    <fill>
      <patternFill patternType="solid">
        <fgColor rgb="FF6C3FA0"/>
        <bgColor rgb="FF8064A2"/>
      </patternFill>
    </fill>
    <fill>
      <patternFill patternType="solid">
        <fgColor rgb="FFD63864"/>
        <bgColor rgb="FFE53E3E"/>
      </patternFill>
    </fill>
    <fill>
      <patternFill patternType="solid">
        <fgColor rgb="FF2D3748"/>
        <bgColor rgb="FF1B2A4A"/>
      </patternFill>
    </fill>
    <fill>
      <patternFill patternType="solid">
        <fgColor rgb="FFFFFFFF"/>
        <bgColor rgb="FFF9F9F9"/>
      </patternFill>
    </fill>
    <fill>
      <patternFill patternType="solid">
        <fgColor rgb="FFF4F7FA"/>
        <bgColor rgb="FFF9F9F9"/>
      </patternFill>
    </fill>
  </fills>
  <borders count="4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/>
      <right/>
      <top/>
      <bottom style="thin">
        <color rgb="FFD1D9E0"/>
      </bottom>
      <diagonal/>
    </border>
    <border>
      <left style="thin">
        <color rgb="FFD1D9E0"/>
      </left>
      <right/>
      <top style="thin">
        <color rgb="FFD1D9E0"/>
      </top>
      <bottom style="thin">
        <color rgb="FFD1D9E0"/>
      </bottom>
      <diagonal/>
    </border>
  </borders>
  <cellStyleXfs count="1">
    <xf numFmtId="0" fontId="0" fillId="0" borderId="0"/>
  </cellStyleXfs>
  <cellXfs count="88">
    <xf numFmtId="0" fontId="0" fillId="0" borderId="0" xfId="0"/>
    <xf numFmtId="3" fontId="1" fillId="7" borderId="1" xfId="0" applyNumberFormat="1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3" fontId="8" fillId="9" borderId="1" xfId="0" applyNumberFormat="1" applyFont="1" applyFill="1" applyBorder="1" applyAlignment="1">
      <alignment horizontal="center" vertical="center" wrapText="1"/>
    </xf>
    <xf numFmtId="3" fontId="9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164" fontId="8" fillId="10" borderId="1" xfId="0" applyNumberFormat="1" applyFont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166" fontId="8" fillId="9" borderId="1" xfId="0" applyNumberFormat="1" applyFont="1" applyFill="1" applyBorder="1" applyAlignment="1">
      <alignment horizontal="center" vertical="center" wrapText="1"/>
    </xf>
    <xf numFmtId="166" fontId="9" fillId="9" borderId="1" xfId="0" applyNumberFormat="1" applyFont="1" applyFill="1" applyBorder="1" applyAlignment="1">
      <alignment horizontal="center" vertical="center" wrapText="1"/>
    </xf>
    <xf numFmtId="2" fontId="8" fillId="10" borderId="1" xfId="0" applyNumberFormat="1" applyFont="1" applyFill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center" wrapText="1"/>
    </xf>
    <xf numFmtId="2" fontId="9" fillId="9" borderId="1" xfId="0" applyNumberFormat="1" applyFont="1" applyFill="1" applyBorder="1" applyAlignment="1">
      <alignment horizontal="center" vertical="center" wrapText="1"/>
    </xf>
    <xf numFmtId="167" fontId="8" fillId="10" borderId="1" xfId="0" applyNumberFormat="1" applyFont="1" applyFill="1" applyBorder="1" applyAlignment="1">
      <alignment horizontal="center" vertical="center" wrapText="1"/>
    </xf>
    <xf numFmtId="167" fontId="9" fillId="10" borderId="1" xfId="0" applyNumberFormat="1" applyFont="1" applyFill="1" applyBorder="1" applyAlignment="1">
      <alignment horizontal="center" vertical="center" wrapText="1"/>
    </xf>
    <xf numFmtId="167" fontId="8" fillId="9" borderId="1" xfId="0" applyNumberFormat="1" applyFont="1" applyFill="1" applyBorder="1" applyAlignment="1">
      <alignment horizontal="center" vertical="center" wrapText="1"/>
    </xf>
    <xf numFmtId="167" fontId="9" fillId="9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/>
    </xf>
    <xf numFmtId="164" fontId="11" fillId="10" borderId="1" xfId="0" applyNumberFormat="1" applyFont="1" applyFill="1" applyBorder="1" applyAlignment="1">
      <alignment horizontal="center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167" fontId="11" fillId="10" borderId="1" xfId="0" applyNumberFormat="1" applyFont="1" applyFill="1" applyBorder="1" applyAlignment="1">
      <alignment horizontal="center" vertical="center" wrapText="1"/>
    </xf>
    <xf numFmtId="2" fontId="11" fillId="10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center" vertical="center" wrapText="1"/>
    </xf>
    <xf numFmtId="3" fontId="11" fillId="9" borderId="1" xfId="0" applyNumberFormat="1" applyFont="1" applyFill="1" applyBorder="1" applyAlignment="1">
      <alignment horizontal="center" vertical="center" wrapText="1"/>
    </xf>
    <xf numFmtId="167" fontId="11" fillId="9" borderId="1" xfId="0" applyNumberFormat="1" applyFont="1" applyFill="1" applyBorder="1" applyAlignment="1">
      <alignment horizontal="center" vertical="center" wrapText="1"/>
    </xf>
    <xf numFmtId="2" fontId="11" fillId="9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 wrapText="1"/>
    </xf>
    <xf numFmtId="166" fontId="9" fillId="10" borderId="1" xfId="0" applyNumberFormat="1" applyFont="1" applyFill="1" applyBorder="1" applyAlignment="1">
      <alignment horizontal="center" vertical="center" wrapText="1"/>
    </xf>
    <xf numFmtId="3" fontId="9" fillId="10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68" fontId="9" fillId="9" borderId="1" xfId="0" applyNumberFormat="1" applyFont="1" applyFill="1" applyBorder="1" applyAlignment="1">
      <alignment horizontal="center" vertical="center" wrapText="1"/>
    </xf>
    <xf numFmtId="168" fontId="9" fillId="10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167" fontId="6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 indent="1"/>
    </xf>
    <xf numFmtId="0" fontId="9" fillId="10" borderId="2" xfId="0" applyFont="1" applyFill="1" applyBorder="1" applyAlignment="1">
      <alignment horizontal="left" vertical="center" wrapText="1" indent="1"/>
    </xf>
    <xf numFmtId="0" fontId="4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3E3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6C"/>
      <rgbColor rgb="FFD9D9D9"/>
      <rgbColor rgb="FF878787"/>
      <rgbColor rgb="FF9999FF"/>
      <rgbColor rgb="FFC0504D"/>
      <rgbColor rgb="FFF9F9F9"/>
      <rgbColor rgb="FFF4F7FA"/>
      <rgbColor rgb="FF660066"/>
      <rgbColor rgb="FFFF8080"/>
      <rgbColor rgb="FF0066CC"/>
      <rgbColor rgb="FFD1D9E0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80ED"/>
      <rgbColor rgb="FF4BACC6"/>
      <rgbColor rgb="FF9BBB59"/>
      <rgbColor rgb="FFFFCC00"/>
      <rgbColor rgb="FFF5A623"/>
      <rgbColor rgb="FFE8631A"/>
      <rgbColor rgb="FF8064A2"/>
      <rgbColor rgb="FF969696"/>
      <rgbColor rgb="FF1B2A4A"/>
      <rgbColor rgb="FF4F81BD"/>
      <rgbColor rgb="FF003300"/>
      <rgbColor rgb="FF333300"/>
      <rgbColor rgb="FFD63864"/>
      <rgbColor rgb="FF6C3FA0"/>
      <rgbColor rgb="FF333399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Generated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Performance'!$I$4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0F7B6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Performance'!$A$5:$A$12</c:f>
              <c:strCache>
                <c:ptCount val="8"/>
                <c:pt idx="0">
                  <c:v>Google Ads</c:v>
                </c:pt>
                <c:pt idx="1">
                  <c:v>Meta Ads</c:v>
                </c:pt>
                <c:pt idx="2">
                  <c:v>Email</c:v>
                </c:pt>
                <c:pt idx="3">
                  <c:v>SEO/Organic</c:v>
                </c:pt>
                <c:pt idx="4">
                  <c:v>YouTube</c:v>
                </c:pt>
                <c:pt idx="5">
                  <c:v>LinkedIn</c:v>
                </c:pt>
                <c:pt idx="6">
                  <c:v>Influencer</c:v>
                </c:pt>
                <c:pt idx="7">
                  <c:v>SMS</c:v>
                </c:pt>
              </c:strCache>
            </c:strRef>
          </c:cat>
          <c:val>
            <c:numRef>
              <c:f>'Channel Performance'!$I$5:$I$12</c:f>
              <c:numCache>
                <c:formatCode>\₹#,##0</c:formatCode>
                <c:ptCount val="8"/>
                <c:pt idx="0">
                  <c:v>7108900</c:v>
                </c:pt>
                <c:pt idx="1">
                  <c:v>6712800</c:v>
                </c:pt>
                <c:pt idx="2">
                  <c:v>2887400</c:v>
                </c:pt>
                <c:pt idx="3">
                  <c:v>4632500</c:v>
                </c:pt>
                <c:pt idx="4">
                  <c:v>4730500</c:v>
                </c:pt>
                <c:pt idx="5">
                  <c:v>4018400</c:v>
                </c:pt>
                <c:pt idx="6">
                  <c:v>6330700</c:v>
                </c:pt>
                <c:pt idx="7">
                  <c:v>721400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F-4DA9-8C2E-B1A132F5D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09087"/>
        <c:axId val="44530643"/>
      </c:barChart>
      <c:catAx>
        <c:axId val="24509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530643"/>
        <c:crosses val="autoZero"/>
        <c:auto val="1"/>
        <c:lblAlgn val="ctr"/>
        <c:lblOffset val="100"/>
        <c:noMultiLvlLbl val="0"/>
      </c:catAx>
      <c:valAx>
        <c:axId val="44530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509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Performance'!$J$4</c:f>
              <c:strCache>
                <c:ptCount val="1"/>
                <c:pt idx="0">
                  <c:v>Avg ROAS</c:v>
                </c:pt>
              </c:strCache>
            </c:strRef>
          </c:tx>
          <c:spPr>
            <a:solidFill>
              <a:srgbClr val="E8631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Performance'!$A$5:$A$12</c:f>
              <c:strCache>
                <c:ptCount val="8"/>
                <c:pt idx="0">
                  <c:v>Google Ads</c:v>
                </c:pt>
                <c:pt idx="1">
                  <c:v>Meta Ads</c:v>
                </c:pt>
                <c:pt idx="2">
                  <c:v>Email</c:v>
                </c:pt>
                <c:pt idx="3">
                  <c:v>SEO/Organic</c:v>
                </c:pt>
                <c:pt idx="4">
                  <c:v>YouTube</c:v>
                </c:pt>
                <c:pt idx="5">
                  <c:v>LinkedIn</c:v>
                </c:pt>
                <c:pt idx="6">
                  <c:v>Influencer</c:v>
                </c:pt>
                <c:pt idx="7">
                  <c:v>SMS</c:v>
                </c:pt>
              </c:strCache>
            </c:strRef>
          </c:cat>
          <c:val>
            <c:numRef>
              <c:f>'Channel Performance'!$J$5:$J$12</c:f>
              <c:numCache>
                <c:formatCode>0.00</c:formatCode>
                <c:ptCount val="8"/>
                <c:pt idx="0">
                  <c:v>4.0771392521220466</c:v>
                </c:pt>
                <c:pt idx="1">
                  <c:v>3.8323818223338662</c:v>
                </c:pt>
                <c:pt idx="2">
                  <c:v>7.889071038251366</c:v>
                </c:pt>
                <c:pt idx="3">
                  <c:v>7.1028825513646119</c:v>
                </c:pt>
                <c:pt idx="4">
                  <c:v>2.8939801786369754</c:v>
                </c:pt>
                <c:pt idx="5">
                  <c:v>3.5261495261495264</c:v>
                </c:pt>
                <c:pt idx="6">
                  <c:v>2.95</c:v>
                </c:pt>
                <c:pt idx="7">
                  <c:v>5.6713836477987423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1-4B82-9CD0-5A1855947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34905"/>
        <c:axId val="31377666"/>
      </c:barChart>
      <c:catAx>
        <c:axId val="688349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77666"/>
        <c:crosses val="autoZero"/>
        <c:auto val="1"/>
        <c:lblAlgn val="ctr"/>
        <c:lblOffset val="100"/>
        <c:noMultiLvlLbl val="0"/>
      </c:catAx>
      <c:valAx>
        <c:axId val="313776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349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Trends'!$I$3</c:f>
              <c:strCache>
                <c:ptCount val="1"/>
                <c:pt idx="0">
                  <c:v>Revenue (₹)</c:v>
                </c:pt>
              </c:strCache>
            </c:strRef>
          </c:tx>
          <c:spPr>
            <a:ln w="28080">
              <a:solidFill>
                <a:srgbClr val="E8631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Trends'!$I$4:$I$15</c:f>
              <c:numCache>
                <c:formatCode>\₹#,##0</c:formatCode>
                <c:ptCount val="12"/>
                <c:pt idx="0">
                  <c:v>2725100</c:v>
                </c:pt>
                <c:pt idx="1">
                  <c:v>2675300</c:v>
                </c:pt>
                <c:pt idx="2">
                  <c:v>2603600</c:v>
                </c:pt>
                <c:pt idx="3">
                  <c:v>4022100</c:v>
                </c:pt>
                <c:pt idx="4">
                  <c:v>3772800</c:v>
                </c:pt>
                <c:pt idx="5">
                  <c:v>3020200</c:v>
                </c:pt>
                <c:pt idx="6">
                  <c:v>3829200</c:v>
                </c:pt>
                <c:pt idx="7">
                  <c:v>2555600</c:v>
                </c:pt>
                <c:pt idx="8">
                  <c:v>4590300</c:v>
                </c:pt>
                <c:pt idx="9">
                  <c:v>1961300</c:v>
                </c:pt>
                <c:pt idx="10">
                  <c:v>3220100</c:v>
                </c:pt>
                <c:pt idx="11">
                  <c:v>2167000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52-44FA-BDBB-231446261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998988"/>
        <c:axId val="99193119"/>
      </c:lineChart>
      <c:catAx>
        <c:axId val="79998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93119"/>
        <c:crosses val="autoZero"/>
        <c:auto val="1"/>
        <c:lblAlgn val="ctr"/>
        <c:lblOffset val="100"/>
        <c:noMultiLvlLbl val="0"/>
      </c:catAx>
      <c:valAx>
        <c:axId val="99193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998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Impressions vs Clicks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Trends'!$F$3</c:f>
              <c:strCache>
                <c:ptCount val="1"/>
                <c:pt idx="0">
                  <c:v>Impressions</c:v>
                </c:pt>
              </c:strCache>
            </c:strRef>
          </c:tx>
          <c:spPr>
            <a:ln w="47520">
              <a:solidFill>
                <a:srgbClr val="2F80E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Trends'!$F$4:$F$15</c:f>
              <c:numCache>
                <c:formatCode>#,##0</c:formatCode>
                <c:ptCount val="12"/>
                <c:pt idx="0">
                  <c:v>1699039</c:v>
                </c:pt>
                <c:pt idx="1">
                  <c:v>2210897</c:v>
                </c:pt>
                <c:pt idx="2">
                  <c:v>2327505</c:v>
                </c:pt>
                <c:pt idx="3">
                  <c:v>2616455</c:v>
                </c:pt>
                <c:pt idx="4">
                  <c:v>2406057</c:v>
                </c:pt>
                <c:pt idx="5">
                  <c:v>2987321</c:v>
                </c:pt>
                <c:pt idx="6">
                  <c:v>2330792</c:v>
                </c:pt>
                <c:pt idx="7">
                  <c:v>2295351</c:v>
                </c:pt>
                <c:pt idx="8">
                  <c:v>3473582</c:v>
                </c:pt>
                <c:pt idx="9">
                  <c:v>1804840</c:v>
                </c:pt>
                <c:pt idx="10">
                  <c:v>2622643</c:v>
                </c:pt>
                <c:pt idx="11">
                  <c:v>1675418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42-45DB-9934-5933E377E1D1}"/>
            </c:ext>
          </c:extLst>
        </c:ser>
        <c:ser>
          <c:idx val="1"/>
          <c:order val="1"/>
          <c:tx>
            <c:strRef>
              <c:f>'Monthly Trends'!$G$3</c:f>
              <c:strCache>
                <c:ptCount val="1"/>
                <c:pt idx="0">
                  <c:v>Clicks</c:v>
                </c:pt>
              </c:strCache>
            </c:strRef>
          </c:tx>
          <c:spPr>
            <a:ln w="47520">
              <a:solidFill>
                <a:srgbClr val="0F7B6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Trends'!$G$4:$G$15</c:f>
              <c:numCache>
                <c:formatCode>#,##0</c:formatCode>
                <c:ptCount val="12"/>
                <c:pt idx="0">
                  <c:v>299735</c:v>
                </c:pt>
                <c:pt idx="1">
                  <c:v>131988</c:v>
                </c:pt>
                <c:pt idx="2">
                  <c:v>136171</c:v>
                </c:pt>
                <c:pt idx="3">
                  <c:v>181575</c:v>
                </c:pt>
                <c:pt idx="4">
                  <c:v>293842</c:v>
                </c:pt>
                <c:pt idx="5">
                  <c:v>309904</c:v>
                </c:pt>
                <c:pt idx="6">
                  <c:v>340103</c:v>
                </c:pt>
                <c:pt idx="7">
                  <c:v>186125</c:v>
                </c:pt>
                <c:pt idx="8">
                  <c:v>183396</c:v>
                </c:pt>
                <c:pt idx="9">
                  <c:v>109640</c:v>
                </c:pt>
                <c:pt idx="10">
                  <c:v>204382</c:v>
                </c:pt>
                <c:pt idx="11">
                  <c:v>82832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42-45DB-9934-5933E377E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084325"/>
        <c:axId val="41703781"/>
      </c:lineChart>
      <c:catAx>
        <c:axId val="81084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03781"/>
        <c:crosses val="autoZero"/>
        <c:auto val="1"/>
        <c:lblAlgn val="ctr"/>
        <c:lblOffset val="100"/>
        <c:noMultiLvlLbl val="0"/>
      </c:catAx>
      <c:valAx>
        <c:axId val="41703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84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Objective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'Objective Analysis'!$G$4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4C1-4985-AE44-D8C99D0F674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4C1-4985-AE44-D8C99D0F674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4C1-4985-AE44-D8C99D0F674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4C1-4985-AE44-D8C99D0F674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4C1-4985-AE44-D8C99D0F674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4C1-4985-AE44-D8C99D0F674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4C1-4985-AE44-D8C99D0F674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4C1-4985-AE44-D8C99D0F674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4C1-4985-AE44-D8C99D0F674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4C1-4985-AE44-D8C99D0F67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'Objective Analysis'!$A$5:$A$9</c:f>
              <c:strCache>
                <c:ptCount val="5"/>
                <c:pt idx="0">
                  <c:v>Brand Awareness</c:v>
                </c:pt>
                <c:pt idx="1">
                  <c:v>Lead Generation</c:v>
                </c:pt>
                <c:pt idx="2">
                  <c:v>Conversions</c:v>
                </c:pt>
                <c:pt idx="3">
                  <c:v>Retention</c:v>
                </c:pt>
                <c:pt idx="4">
                  <c:v>Traffic</c:v>
                </c:pt>
              </c:strCache>
            </c:strRef>
          </c:cat>
          <c:val>
            <c:numRef>
              <c:f>'Objective Analysis'!$G$5:$G$9</c:f>
              <c:numCache>
                <c:formatCode>\₹#,##0</c:formatCode>
                <c:ptCount val="5"/>
                <c:pt idx="0">
                  <c:v>9161900</c:v>
                </c:pt>
                <c:pt idx="1">
                  <c:v>8821600</c:v>
                </c:pt>
                <c:pt idx="2">
                  <c:v>5259000</c:v>
                </c:pt>
                <c:pt idx="3">
                  <c:v>6893500</c:v>
                </c:pt>
                <c:pt idx="4">
                  <c:v>7006600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C1-4985-AE44-D8C99D0F6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659520</xdr:colOff>
      <xdr:row>40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14</xdr:row>
      <xdr:rowOff>0</xdr:rowOff>
    </xdr:from>
    <xdr:to>
      <xdr:col>22</xdr:col>
      <xdr:colOff>364680</xdr:colOff>
      <xdr:row>40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9</xdr:col>
      <xdr:colOff>181440</xdr:colOff>
      <xdr:row>43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17</xdr:row>
      <xdr:rowOff>0</xdr:rowOff>
    </xdr:from>
    <xdr:to>
      <xdr:col>24</xdr:col>
      <xdr:colOff>581400</xdr:colOff>
      <xdr:row>43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19050</xdr:rowOff>
    </xdr:from>
    <xdr:to>
      <xdr:col>4</xdr:col>
      <xdr:colOff>155968</xdr:colOff>
      <xdr:row>28</xdr:row>
      <xdr:rowOff>180975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B6C"/>
  </sheetPr>
  <dimension ref="A1:R54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16" customWidth="1"/>
    <col min="3" max="4" width="14" customWidth="1"/>
    <col min="5" max="5" width="12" customWidth="1"/>
    <col min="6" max="19" width="11" customWidth="1"/>
  </cols>
  <sheetData>
    <row r="1" spans="1:18" ht="45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45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1.75" customHeight="1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8" customHeight="1" x14ac:dyDescent="0.25"/>
    <row r="5" spans="1:18" ht="21.75" customHeight="1" x14ac:dyDescent="0.25">
      <c r="A5" s="12" t="s">
        <v>2</v>
      </c>
      <c r="B5" s="12"/>
      <c r="C5" s="12"/>
      <c r="D5" s="11" t="s">
        <v>3</v>
      </c>
      <c r="E5" s="11"/>
      <c r="F5" s="11"/>
      <c r="G5" s="10" t="s">
        <v>4</v>
      </c>
      <c r="H5" s="10"/>
      <c r="I5" s="10"/>
      <c r="J5" s="9" t="s">
        <v>5</v>
      </c>
      <c r="K5" s="9"/>
      <c r="L5" s="9"/>
      <c r="M5" s="8" t="s">
        <v>6</v>
      </c>
      <c r="N5" s="8"/>
      <c r="O5" s="8"/>
      <c r="P5" s="7" t="s">
        <v>7</v>
      </c>
      <c r="Q5" s="7"/>
      <c r="R5" s="7"/>
    </row>
    <row r="6" spans="1:18" ht="31.5" customHeight="1" x14ac:dyDescent="0.25">
      <c r="A6" s="6">
        <f>SUMIF('Campaign Data'!U:U,"Completed",'Campaign Data'!N:N)</f>
        <v>36061200</v>
      </c>
      <c r="B6" s="6"/>
      <c r="C6" s="6"/>
      <c r="D6" s="5">
        <f>SUMIF('Campaign Data'!U:U,"&lt;&gt;Cancelled",'Campaign Data'!J:J)</f>
        <v>9560800</v>
      </c>
      <c r="E6" s="5"/>
      <c r="F6" s="5"/>
      <c r="G6" s="4">
        <f>IFERROR(SUMIF('Campaign Data'!U:U,"Completed",'Campaign Data'!N:N)/SUMIF('Campaign Data'!U:U,"Completed",'Campaign Data'!J:J),0)</f>
        <v>3.8749234389607041</v>
      </c>
      <c r="H6" s="4"/>
      <c r="I6" s="4"/>
      <c r="J6" s="3">
        <f>SUM('Campaign Data'!L:L)</f>
        <v>2459693</v>
      </c>
      <c r="K6" s="3"/>
      <c r="L6" s="3"/>
      <c r="M6" s="2">
        <f>SUM('Campaign Data'!M:M)</f>
        <v>171099</v>
      </c>
      <c r="N6" s="2"/>
      <c r="O6" s="2"/>
      <c r="P6" s="1">
        <f>SUM('Campaign Data'!O:O)</f>
        <v>335260</v>
      </c>
      <c r="Q6" s="1"/>
      <c r="R6" s="1"/>
    </row>
    <row r="7" spans="1:18" ht="21.75" customHeight="1" x14ac:dyDescent="0.25">
      <c r="A7" s="6"/>
      <c r="B7" s="6"/>
      <c r="C7" s="6"/>
      <c r="D7" s="5"/>
      <c r="E7" s="5"/>
      <c r="F7" s="5"/>
      <c r="G7" s="4"/>
      <c r="H7" s="4"/>
      <c r="I7" s="4"/>
      <c r="J7" s="3"/>
      <c r="K7" s="3"/>
      <c r="L7" s="3"/>
      <c r="M7" s="2"/>
      <c r="N7" s="2"/>
      <c r="O7" s="2"/>
      <c r="P7" s="1"/>
      <c r="Q7" s="1"/>
      <c r="R7" s="1"/>
    </row>
    <row r="8" spans="1:18" ht="21.75" customHeight="1" x14ac:dyDescent="0.25">
      <c r="A8" s="6"/>
      <c r="B8" s="6"/>
      <c r="C8" s="6"/>
      <c r="D8" s="5"/>
      <c r="E8" s="5"/>
      <c r="F8" s="5"/>
      <c r="G8" s="4"/>
      <c r="H8" s="4"/>
      <c r="I8" s="4"/>
      <c r="J8" s="3"/>
      <c r="K8" s="3"/>
      <c r="L8" s="3"/>
      <c r="M8" s="2"/>
      <c r="N8" s="2"/>
      <c r="O8" s="2"/>
      <c r="P8" s="1"/>
      <c r="Q8" s="1"/>
      <c r="R8" s="1"/>
    </row>
    <row r="9" spans="1:18" ht="21.75" customHeight="1" x14ac:dyDescent="0.25">
      <c r="A9" s="72" t="s">
        <v>8</v>
      </c>
      <c r="B9" s="72"/>
      <c r="C9" s="72"/>
      <c r="D9" s="73" t="s">
        <v>9</v>
      </c>
      <c r="E9" s="73"/>
      <c r="F9" s="73"/>
      <c r="G9" s="74" t="s">
        <v>10</v>
      </c>
      <c r="H9" s="74"/>
      <c r="I9" s="74"/>
      <c r="J9" s="75" t="s">
        <v>11</v>
      </c>
      <c r="K9" s="75"/>
      <c r="L9" s="75"/>
      <c r="M9" s="76" t="s">
        <v>12</v>
      </c>
      <c r="N9" s="76"/>
      <c r="O9" s="76"/>
      <c r="P9" s="77" t="s">
        <v>13</v>
      </c>
      <c r="Q9" s="77"/>
      <c r="R9" s="77"/>
    </row>
    <row r="10" spans="1:18" ht="13.5" customHeight="1" x14ac:dyDescent="0.25"/>
    <row r="11" spans="1:18" ht="25.5" customHeight="1" x14ac:dyDescent="0.25">
      <c r="A11" s="78" t="s">
        <v>14</v>
      </c>
      <c r="B11" s="78"/>
      <c r="C11" s="78"/>
      <c r="D11" s="78"/>
      <c r="E11" s="78"/>
      <c r="F11" s="78"/>
    </row>
    <row r="12" spans="1:18" ht="25.5" customHeight="1" x14ac:dyDescent="0.25">
      <c r="A12" s="15" t="s">
        <v>15</v>
      </c>
      <c r="B12" s="15" t="s">
        <v>16</v>
      </c>
      <c r="C12" s="15" t="s">
        <v>17</v>
      </c>
      <c r="D12" s="15" t="s">
        <v>18</v>
      </c>
      <c r="E12" s="15" t="s">
        <v>19</v>
      </c>
    </row>
    <row r="13" spans="1:18" ht="21.75" customHeight="1" x14ac:dyDescent="0.25">
      <c r="A13" s="16" t="s">
        <v>20</v>
      </c>
      <c r="B13" s="17">
        <f>COUNTA('Campaign Data'!A:A)-1</f>
        <v>80</v>
      </c>
      <c r="C13" s="18">
        <v>100</v>
      </c>
      <c r="D13" s="18">
        <f t="shared" ref="D13:D22" si="0">IFERROR(B13-C13,"—")</f>
        <v>-20</v>
      </c>
      <c r="E13" s="19" t="s">
        <v>21</v>
      </c>
    </row>
    <row r="14" spans="1:18" ht="21.75" customHeight="1" x14ac:dyDescent="0.25">
      <c r="A14" s="20" t="s">
        <v>22</v>
      </c>
      <c r="B14" s="21">
        <f>SUM('Campaign Data'!I:I)</f>
        <v>10799700</v>
      </c>
      <c r="C14" s="22">
        <v>50000000</v>
      </c>
      <c r="D14" s="22">
        <f t="shared" si="0"/>
        <v>-39200300</v>
      </c>
      <c r="E14" s="23" t="s">
        <v>21</v>
      </c>
    </row>
    <row r="15" spans="1:18" ht="21.75" customHeight="1" x14ac:dyDescent="0.25">
      <c r="A15" s="16" t="s">
        <v>23</v>
      </c>
      <c r="B15" s="24">
        <f>IFERROR(SUM('Campaign Data'!J:J)/SUM('Campaign Data'!I:I),0)</f>
        <v>0.88528385047732805</v>
      </c>
      <c r="C15" s="25">
        <v>0.9</v>
      </c>
      <c r="D15" s="25">
        <f t="shared" si="0"/>
        <v>-1.4716149522671973E-2</v>
      </c>
      <c r="E15" s="19" t="s">
        <v>21</v>
      </c>
    </row>
    <row r="16" spans="1:18" ht="21.75" customHeight="1" x14ac:dyDescent="0.25">
      <c r="A16" s="20" t="s">
        <v>24</v>
      </c>
      <c r="B16" s="26">
        <f>IFERROR(SUM('Campaign Data'!N:N)/SUM('Campaign Data'!J:J),0)</f>
        <v>3.8848841101163081</v>
      </c>
      <c r="C16" s="27">
        <v>3.5</v>
      </c>
      <c r="D16" s="27">
        <f t="shared" si="0"/>
        <v>0.38488411011630808</v>
      </c>
      <c r="E16" s="23" t="s">
        <v>21</v>
      </c>
    </row>
    <row r="17" spans="1:18" ht="21.75" customHeight="1" x14ac:dyDescent="0.25">
      <c r="A17" s="16" t="s">
        <v>25</v>
      </c>
      <c r="B17" s="17">
        <f>SUM('Campaign Data'!K:K)</f>
        <v>28449900</v>
      </c>
      <c r="C17" s="18">
        <v>10000000</v>
      </c>
      <c r="D17" s="18">
        <f t="shared" si="0"/>
        <v>18449900</v>
      </c>
      <c r="E17" s="19" t="s">
        <v>21</v>
      </c>
    </row>
    <row r="18" spans="1:18" ht="21.75" customHeight="1" x14ac:dyDescent="0.25">
      <c r="A18" s="20" t="s">
        <v>26</v>
      </c>
      <c r="B18" s="26">
        <f>IFERROR(AVERAGE('Campaign Data'!R:R),0)</f>
        <v>9.4464882349688324</v>
      </c>
      <c r="C18" s="27">
        <v>5</v>
      </c>
      <c r="D18" s="27">
        <f t="shared" si="0"/>
        <v>4.4464882349688324</v>
      </c>
      <c r="E18" s="23" t="s">
        <v>21</v>
      </c>
    </row>
    <row r="19" spans="1:18" ht="21.75" customHeight="1" x14ac:dyDescent="0.25">
      <c r="A19" s="16" t="s">
        <v>27</v>
      </c>
      <c r="B19" s="28">
        <f>IFERROR(AVERAGE('Campaign Data'!S:S),0)</f>
        <v>4.2011377690346716</v>
      </c>
      <c r="C19" s="29">
        <v>3</v>
      </c>
      <c r="D19" s="29">
        <f t="shared" si="0"/>
        <v>1.2011377690346716</v>
      </c>
      <c r="E19" s="19" t="s">
        <v>21</v>
      </c>
    </row>
    <row r="20" spans="1:18" ht="21.75" customHeight="1" x14ac:dyDescent="0.25">
      <c r="A20" s="20" t="s">
        <v>28</v>
      </c>
      <c r="B20" s="30">
        <f>IFERROR(SUM('Campaign Data'!J:J)/SUM('Campaign Data'!M:M),0)</f>
        <v>55.878760249913796</v>
      </c>
      <c r="C20" s="31">
        <v>500</v>
      </c>
      <c r="D20" s="31">
        <f t="shared" si="0"/>
        <v>-444.1212397500862</v>
      </c>
      <c r="E20" s="23" t="s">
        <v>21</v>
      </c>
    </row>
    <row r="21" spans="1:18" ht="21.75" customHeight="1" x14ac:dyDescent="0.25">
      <c r="A21" s="16" t="s">
        <v>29</v>
      </c>
      <c r="B21" s="32">
        <f>IFERROR(SUM('Campaign Data'!J:J)/SUM('Campaign Data'!O:O),0)</f>
        <v>28.517568454333951</v>
      </c>
      <c r="C21" s="33">
        <v>300</v>
      </c>
      <c r="D21" s="33">
        <f t="shared" si="0"/>
        <v>-271.48243154566603</v>
      </c>
      <c r="E21" s="19" t="s">
        <v>21</v>
      </c>
    </row>
    <row r="22" spans="1:18" ht="21.75" customHeight="1" x14ac:dyDescent="0.25">
      <c r="A22" s="20" t="s">
        <v>30</v>
      </c>
      <c r="B22" s="26">
        <f>IFERROR(SUMIF('Campaign Data'!C:C,"Email",'Campaign Data'!N:N)/SUMIF('Campaign Data'!C:C,"Email",'Campaign Data'!J:J),0)</f>
        <v>7.889071038251366</v>
      </c>
      <c r="C22" s="27">
        <v>8</v>
      </c>
      <c r="D22" s="27">
        <f t="shared" si="0"/>
        <v>-0.11092896174863398</v>
      </c>
      <c r="E22" s="23" t="s">
        <v>21</v>
      </c>
    </row>
    <row r="23" spans="1:18" ht="12" customHeight="1" x14ac:dyDescent="0.25"/>
    <row r="24" spans="1:18" ht="25.5" customHeight="1" x14ac:dyDescent="0.25">
      <c r="A24" s="79" t="s">
        <v>31</v>
      </c>
      <c r="B24" s="79"/>
      <c r="C24" s="79"/>
      <c r="D24" s="79"/>
      <c r="E24" s="79"/>
    </row>
    <row r="25" spans="1:18" ht="21.75" customHeight="1" x14ac:dyDescent="0.25">
      <c r="A25" s="80" t="s">
        <v>32</v>
      </c>
      <c r="B25" s="80"/>
      <c r="C25" s="80"/>
      <c r="D25" s="80"/>
      <c r="E25" s="80"/>
    </row>
    <row r="26" spans="1:18" ht="21.75" customHeight="1" x14ac:dyDescent="0.25">
      <c r="A26" s="81" t="s">
        <v>33</v>
      </c>
      <c r="B26" s="81"/>
      <c r="C26" s="81"/>
      <c r="D26" s="81"/>
      <c r="E26" s="81"/>
    </row>
    <row r="27" spans="1:18" ht="21.75" customHeight="1" x14ac:dyDescent="0.25">
      <c r="A27" s="80" t="s">
        <v>34</v>
      </c>
      <c r="B27" s="80"/>
      <c r="C27" s="80"/>
      <c r="D27" s="80"/>
      <c r="E27" s="80"/>
    </row>
    <row r="28" spans="1:18" ht="21.75" customHeight="1" x14ac:dyDescent="0.25">
      <c r="A28" s="81" t="s">
        <v>35</v>
      </c>
      <c r="B28" s="81"/>
      <c r="C28" s="81"/>
      <c r="D28" s="81"/>
      <c r="E28" s="81"/>
    </row>
    <row r="29" spans="1:18" ht="21.75" customHeight="1" x14ac:dyDescent="0.25">
      <c r="A29" s="80" t="s">
        <v>36</v>
      </c>
      <c r="B29" s="80"/>
      <c r="C29" s="80"/>
      <c r="D29" s="80"/>
      <c r="E29" s="80"/>
    </row>
    <row r="30" spans="1:18" ht="19.5" customHeight="1" x14ac:dyDescent="0.25">
      <c r="A30" s="82" t="s">
        <v>37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</row>
    <row r="31" spans="1:18" ht="18" customHeight="1" x14ac:dyDescent="0.25"/>
    <row r="32" spans="1:18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</sheetData>
  <mergeCells count="28">
    <mergeCell ref="A28:E28"/>
    <mergeCell ref="A29:E29"/>
    <mergeCell ref="A30:R30"/>
    <mergeCell ref="A11:F11"/>
    <mergeCell ref="A24:E24"/>
    <mergeCell ref="A25:E25"/>
    <mergeCell ref="A26:E26"/>
    <mergeCell ref="A27:E27"/>
    <mergeCell ref="P6:R8"/>
    <mergeCell ref="A9:C9"/>
    <mergeCell ref="D9:F9"/>
    <mergeCell ref="G9:I9"/>
    <mergeCell ref="J9:L9"/>
    <mergeCell ref="M9:O9"/>
    <mergeCell ref="P9:R9"/>
    <mergeCell ref="A6:C8"/>
    <mergeCell ref="D6:F8"/>
    <mergeCell ref="G6:I8"/>
    <mergeCell ref="J6:L8"/>
    <mergeCell ref="M6:O8"/>
    <mergeCell ref="A1:R2"/>
    <mergeCell ref="A3:R3"/>
    <mergeCell ref="A5:C5"/>
    <mergeCell ref="D5:F5"/>
    <mergeCell ref="G5:I5"/>
    <mergeCell ref="J5:L5"/>
    <mergeCell ref="M5:O5"/>
    <mergeCell ref="P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80ED"/>
  </sheetPr>
  <dimension ref="A1:U81"/>
  <sheetViews>
    <sheetView showGridLines="0" tabSelected="1" zoomScaleNormal="100" workbookViewId="0">
      <pane ySplit="1" topLeftCell="A56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6" customWidth="1"/>
    <col min="3" max="3" width="16" customWidth="1"/>
    <col min="4" max="4" width="18" customWidth="1"/>
    <col min="5" max="6" width="10" customWidth="1"/>
    <col min="7" max="8" width="12" customWidth="1"/>
    <col min="9" max="11" width="14" customWidth="1"/>
    <col min="12" max="12" width="10" customWidth="1"/>
    <col min="13" max="13" width="13" customWidth="1"/>
    <col min="14" max="14" width="20" customWidth="1"/>
    <col min="15" max="15" width="8" customWidth="1"/>
    <col min="16" max="16" width="18" customWidth="1"/>
    <col min="17" max="17" width="22" customWidth="1"/>
    <col min="18" max="18" width="10" customWidth="1"/>
    <col min="19" max="19" width="13" customWidth="1"/>
    <col min="20" max="20" width="8" customWidth="1"/>
    <col min="21" max="21" width="12" customWidth="1"/>
  </cols>
  <sheetData>
    <row r="1" spans="1:21" ht="31.5" customHeight="1" x14ac:dyDescent="0.25">
      <c r="A1" s="34" t="s">
        <v>38</v>
      </c>
      <c r="B1" s="34" t="s">
        <v>39</v>
      </c>
      <c r="C1" s="34" t="s">
        <v>40</v>
      </c>
      <c r="D1" s="34" t="s">
        <v>41</v>
      </c>
      <c r="E1" s="34" t="s">
        <v>42</v>
      </c>
      <c r="F1" s="34" t="s">
        <v>43</v>
      </c>
      <c r="G1" s="34" t="s">
        <v>44</v>
      </c>
      <c r="H1" s="34" t="s">
        <v>45</v>
      </c>
      <c r="I1" s="34" t="s">
        <v>46</v>
      </c>
      <c r="J1" s="34" t="s">
        <v>47</v>
      </c>
      <c r="K1" s="34" t="s">
        <v>48</v>
      </c>
      <c r="L1" s="34" t="s">
        <v>49</v>
      </c>
      <c r="M1" s="34" t="s">
        <v>50</v>
      </c>
      <c r="N1" s="34" t="s">
        <v>51</v>
      </c>
      <c r="O1" s="34" t="s">
        <v>52</v>
      </c>
      <c r="P1" s="34" t="s">
        <v>53</v>
      </c>
      <c r="Q1" s="34" t="s">
        <v>28</v>
      </c>
      <c r="R1" s="34" t="s">
        <v>54</v>
      </c>
      <c r="S1" s="34" t="s">
        <v>55</v>
      </c>
      <c r="T1" s="34" t="s">
        <v>56</v>
      </c>
      <c r="U1" s="34" t="s">
        <v>19</v>
      </c>
    </row>
    <row r="2" spans="1:21" x14ac:dyDescent="0.25">
      <c r="A2" s="35" t="s">
        <v>57</v>
      </c>
      <c r="B2" s="36" t="s">
        <v>58</v>
      </c>
      <c r="C2" s="36" t="s">
        <v>59</v>
      </c>
      <c r="D2" s="36" t="s">
        <v>60</v>
      </c>
      <c r="E2" s="35" t="s">
        <v>61</v>
      </c>
      <c r="F2" s="35" t="s">
        <v>62</v>
      </c>
      <c r="G2" s="35" t="s">
        <v>63</v>
      </c>
      <c r="H2" s="35" t="s">
        <v>64</v>
      </c>
      <c r="I2" s="37">
        <v>23800</v>
      </c>
      <c r="J2" s="37">
        <v>23800</v>
      </c>
      <c r="K2" s="38">
        <v>710428</v>
      </c>
      <c r="L2" s="38">
        <v>252628</v>
      </c>
      <c r="M2" s="38">
        <v>14475</v>
      </c>
      <c r="N2" s="37">
        <v>105700</v>
      </c>
      <c r="O2" s="38">
        <v>43246</v>
      </c>
      <c r="P2" s="39">
        <f t="shared" ref="P2:P33" si="0">J2/L2</f>
        <v>9.4209667970296243E-2</v>
      </c>
      <c r="Q2" s="39">
        <f t="shared" ref="Q2:Q33" si="1">IFERROR(J2/M2,0)</f>
        <v>1.6442141623488773</v>
      </c>
      <c r="R2" s="40">
        <f t="shared" ref="R2:R33" si="2">L2/K2*100</f>
        <v>35.559972298389141</v>
      </c>
      <c r="S2" s="40">
        <f t="shared" ref="S2:S33" si="3">IFERROR(M2/L2*100,0)</f>
        <v>5.7297686717228489</v>
      </c>
      <c r="T2" s="40">
        <f t="shared" ref="T2:T33" si="4">N2/J2</f>
        <v>4.4411764705882355</v>
      </c>
      <c r="U2" s="35" t="s">
        <v>65</v>
      </c>
    </row>
    <row r="3" spans="1:21" x14ac:dyDescent="0.25">
      <c r="A3" s="41" t="s">
        <v>66</v>
      </c>
      <c r="B3" s="42" t="s">
        <v>67</v>
      </c>
      <c r="C3" s="42" t="s">
        <v>68</v>
      </c>
      <c r="D3" s="42" t="s">
        <v>69</v>
      </c>
      <c r="E3" s="41" t="s">
        <v>61</v>
      </c>
      <c r="F3" s="41" t="s">
        <v>62</v>
      </c>
      <c r="G3" s="41" t="s">
        <v>63</v>
      </c>
      <c r="H3" s="41" t="s">
        <v>64</v>
      </c>
      <c r="I3" s="43">
        <v>75400</v>
      </c>
      <c r="J3" s="43">
        <v>74600</v>
      </c>
      <c r="K3" s="44">
        <v>118613</v>
      </c>
      <c r="L3" s="44">
        <v>6440</v>
      </c>
      <c r="M3" s="44">
        <v>320</v>
      </c>
      <c r="N3" s="43">
        <v>638600</v>
      </c>
      <c r="O3" s="44">
        <v>865</v>
      </c>
      <c r="P3" s="45">
        <f t="shared" si="0"/>
        <v>11.583850931677018</v>
      </c>
      <c r="Q3" s="45">
        <f t="shared" si="1"/>
        <v>233.125</v>
      </c>
      <c r="R3" s="46">
        <f t="shared" si="2"/>
        <v>5.429421732862334</v>
      </c>
      <c r="S3" s="46">
        <f t="shared" si="3"/>
        <v>4.9689440993788816</v>
      </c>
      <c r="T3" s="46">
        <f t="shared" si="4"/>
        <v>8.560321715817695</v>
      </c>
      <c r="U3" s="41" t="s">
        <v>65</v>
      </c>
    </row>
    <row r="4" spans="1:21" x14ac:dyDescent="0.25">
      <c r="A4" s="35" t="s">
        <v>70</v>
      </c>
      <c r="B4" s="36" t="s">
        <v>71</v>
      </c>
      <c r="C4" s="36" t="s">
        <v>72</v>
      </c>
      <c r="D4" s="36" t="s">
        <v>60</v>
      </c>
      <c r="E4" s="35" t="s">
        <v>61</v>
      </c>
      <c r="F4" s="35" t="s">
        <v>62</v>
      </c>
      <c r="G4" s="35" t="s">
        <v>63</v>
      </c>
      <c r="H4" s="35" t="s">
        <v>64</v>
      </c>
      <c r="I4" s="37">
        <v>26900</v>
      </c>
      <c r="J4" s="37">
        <v>24400</v>
      </c>
      <c r="K4" s="38">
        <v>122363</v>
      </c>
      <c r="L4" s="38">
        <v>33784</v>
      </c>
      <c r="M4" s="38">
        <v>4631</v>
      </c>
      <c r="N4" s="37">
        <v>175400</v>
      </c>
      <c r="O4" s="38">
        <v>6604</v>
      </c>
      <c r="P4" s="39">
        <f t="shared" si="0"/>
        <v>0.72223537769358281</v>
      </c>
      <c r="Q4" s="39">
        <f t="shared" si="1"/>
        <v>5.2688404232347228</v>
      </c>
      <c r="R4" s="40">
        <f t="shared" si="2"/>
        <v>27.609653244853426</v>
      </c>
      <c r="S4" s="40">
        <f t="shared" si="3"/>
        <v>13.707672270897467</v>
      </c>
      <c r="T4" s="40">
        <f t="shared" si="4"/>
        <v>7.1885245901639347</v>
      </c>
      <c r="U4" s="35" t="s">
        <v>65</v>
      </c>
    </row>
    <row r="5" spans="1:21" x14ac:dyDescent="0.25">
      <c r="A5" s="41" t="s">
        <v>73</v>
      </c>
      <c r="B5" s="42" t="s">
        <v>74</v>
      </c>
      <c r="C5" s="42" t="s">
        <v>75</v>
      </c>
      <c r="D5" s="42" t="s">
        <v>76</v>
      </c>
      <c r="E5" s="41" t="s">
        <v>61</v>
      </c>
      <c r="F5" s="41" t="s">
        <v>62</v>
      </c>
      <c r="G5" s="41" t="s">
        <v>63</v>
      </c>
      <c r="H5" s="41" t="s">
        <v>64</v>
      </c>
      <c r="I5" s="43">
        <v>234300</v>
      </c>
      <c r="J5" s="43">
        <v>177900</v>
      </c>
      <c r="K5" s="44">
        <v>649244</v>
      </c>
      <c r="L5" s="44">
        <v>4674</v>
      </c>
      <c r="M5" s="44">
        <v>60</v>
      </c>
      <c r="N5" s="43">
        <v>510600</v>
      </c>
      <c r="O5" s="44">
        <v>143</v>
      </c>
      <c r="P5" s="45">
        <f t="shared" si="0"/>
        <v>38.061617458279848</v>
      </c>
      <c r="Q5" s="45">
        <f t="shared" si="1"/>
        <v>2965</v>
      </c>
      <c r="R5" s="46">
        <f t="shared" si="2"/>
        <v>0.7199142387145665</v>
      </c>
      <c r="S5" s="46">
        <f t="shared" si="3"/>
        <v>1.2836970474967908</v>
      </c>
      <c r="T5" s="46">
        <f t="shared" si="4"/>
        <v>2.8701517706576727</v>
      </c>
      <c r="U5" s="41" t="s">
        <v>65</v>
      </c>
    </row>
    <row r="6" spans="1:21" x14ac:dyDescent="0.25">
      <c r="A6" s="35" t="s">
        <v>77</v>
      </c>
      <c r="B6" s="36" t="s">
        <v>78</v>
      </c>
      <c r="C6" s="36" t="s">
        <v>79</v>
      </c>
      <c r="D6" s="36" t="s">
        <v>76</v>
      </c>
      <c r="E6" s="35" t="s">
        <v>61</v>
      </c>
      <c r="F6" s="35" t="s">
        <v>62</v>
      </c>
      <c r="G6" s="35" t="s">
        <v>63</v>
      </c>
      <c r="H6" s="35" t="s">
        <v>64</v>
      </c>
      <c r="I6" s="37">
        <v>68900</v>
      </c>
      <c r="J6" s="37">
        <v>60100</v>
      </c>
      <c r="K6" s="38">
        <v>21444</v>
      </c>
      <c r="L6" s="38">
        <v>201</v>
      </c>
      <c r="M6" s="38">
        <v>2</v>
      </c>
      <c r="N6" s="37">
        <v>221800</v>
      </c>
      <c r="O6" s="38">
        <v>2</v>
      </c>
      <c r="P6" s="39">
        <f t="shared" si="0"/>
        <v>299.00497512437812</v>
      </c>
      <c r="Q6" s="39">
        <f t="shared" si="1"/>
        <v>30050</v>
      </c>
      <c r="R6" s="40">
        <f t="shared" si="2"/>
        <v>0.93732512590934525</v>
      </c>
      <c r="S6" s="40">
        <f t="shared" si="3"/>
        <v>0.99502487562189057</v>
      </c>
      <c r="T6" s="40">
        <f t="shared" si="4"/>
        <v>3.6905158069883526</v>
      </c>
      <c r="U6" s="35" t="s">
        <v>65</v>
      </c>
    </row>
    <row r="7" spans="1:21" x14ac:dyDescent="0.25">
      <c r="A7" s="41" t="s">
        <v>80</v>
      </c>
      <c r="B7" s="42" t="s">
        <v>81</v>
      </c>
      <c r="C7" s="42" t="s">
        <v>82</v>
      </c>
      <c r="D7" s="42" t="s">
        <v>83</v>
      </c>
      <c r="E7" s="41" t="s">
        <v>61</v>
      </c>
      <c r="F7" s="41" t="s">
        <v>62</v>
      </c>
      <c r="G7" s="41" t="s">
        <v>63</v>
      </c>
      <c r="H7" s="41" t="s">
        <v>64</v>
      </c>
      <c r="I7" s="43">
        <v>254700</v>
      </c>
      <c r="J7" s="43">
        <v>224000</v>
      </c>
      <c r="K7" s="44">
        <v>76947</v>
      </c>
      <c r="L7" s="44">
        <v>2008</v>
      </c>
      <c r="M7" s="44">
        <v>73</v>
      </c>
      <c r="N7" s="43">
        <v>1073000</v>
      </c>
      <c r="O7" s="44">
        <v>127</v>
      </c>
      <c r="P7" s="45">
        <f t="shared" si="0"/>
        <v>111.55378486055777</v>
      </c>
      <c r="Q7" s="45">
        <f t="shared" si="1"/>
        <v>3068.4931506849316</v>
      </c>
      <c r="R7" s="46">
        <f t="shared" si="2"/>
        <v>2.6095884180020015</v>
      </c>
      <c r="S7" s="46">
        <f t="shared" si="3"/>
        <v>3.6354581673306776</v>
      </c>
      <c r="T7" s="46">
        <f t="shared" si="4"/>
        <v>4.7901785714285712</v>
      </c>
      <c r="U7" s="41" t="s">
        <v>65</v>
      </c>
    </row>
    <row r="8" spans="1:21" x14ac:dyDescent="0.25">
      <c r="A8" s="35" t="s">
        <v>84</v>
      </c>
      <c r="B8" s="36" t="s">
        <v>85</v>
      </c>
      <c r="C8" s="36" t="s">
        <v>72</v>
      </c>
      <c r="D8" s="36" t="s">
        <v>69</v>
      </c>
      <c r="E8" s="35" t="s">
        <v>61</v>
      </c>
      <c r="F8" s="35" t="s">
        <v>86</v>
      </c>
      <c r="G8" s="35" t="s">
        <v>87</v>
      </c>
      <c r="H8" s="35" t="s">
        <v>88</v>
      </c>
      <c r="I8" s="37">
        <v>58800</v>
      </c>
      <c r="J8" s="37">
        <v>53400</v>
      </c>
      <c r="K8" s="38">
        <v>287553</v>
      </c>
      <c r="L8" s="38">
        <v>80342</v>
      </c>
      <c r="M8" s="38">
        <v>10653</v>
      </c>
      <c r="N8" s="37">
        <v>330000</v>
      </c>
      <c r="O8" s="38">
        <v>15083</v>
      </c>
      <c r="P8" s="39">
        <f t="shared" si="0"/>
        <v>0.66465858455104432</v>
      </c>
      <c r="Q8" s="39">
        <f t="shared" si="1"/>
        <v>5.0126724866234866</v>
      </c>
      <c r="R8" s="40">
        <f t="shared" si="2"/>
        <v>27.939892819758445</v>
      </c>
      <c r="S8" s="40">
        <f t="shared" si="3"/>
        <v>13.259565358094147</v>
      </c>
      <c r="T8" s="40">
        <f t="shared" si="4"/>
        <v>6.1797752808988768</v>
      </c>
      <c r="U8" s="35" t="s">
        <v>65</v>
      </c>
    </row>
    <row r="9" spans="1:21" x14ac:dyDescent="0.25">
      <c r="A9" s="41" t="s">
        <v>89</v>
      </c>
      <c r="B9" s="42" t="s">
        <v>90</v>
      </c>
      <c r="C9" s="42" t="s">
        <v>91</v>
      </c>
      <c r="D9" s="42" t="s">
        <v>76</v>
      </c>
      <c r="E9" s="41" t="s">
        <v>61</v>
      </c>
      <c r="F9" s="41" t="s">
        <v>86</v>
      </c>
      <c r="G9" s="41" t="s">
        <v>87</v>
      </c>
      <c r="H9" s="41" t="s">
        <v>88</v>
      </c>
      <c r="I9" s="43">
        <v>203400</v>
      </c>
      <c r="J9" s="43">
        <v>188500</v>
      </c>
      <c r="K9" s="44">
        <v>531935</v>
      </c>
      <c r="L9" s="44">
        <v>37660</v>
      </c>
      <c r="M9" s="44">
        <v>1389</v>
      </c>
      <c r="N9" s="43">
        <v>816200</v>
      </c>
      <c r="O9" s="44">
        <v>3140</v>
      </c>
      <c r="P9" s="45">
        <f t="shared" si="0"/>
        <v>5.0053106744556555</v>
      </c>
      <c r="Q9" s="45">
        <f t="shared" si="1"/>
        <v>135.70914326853853</v>
      </c>
      <c r="R9" s="46">
        <f t="shared" si="2"/>
        <v>7.0798123830919186</v>
      </c>
      <c r="S9" s="46">
        <f t="shared" si="3"/>
        <v>3.6882634094530005</v>
      </c>
      <c r="T9" s="46">
        <f t="shared" si="4"/>
        <v>4.3299734748010614</v>
      </c>
      <c r="U9" s="41" t="s">
        <v>65</v>
      </c>
    </row>
    <row r="10" spans="1:21" x14ac:dyDescent="0.25">
      <c r="A10" s="35" t="s">
        <v>92</v>
      </c>
      <c r="B10" s="36" t="s">
        <v>93</v>
      </c>
      <c r="C10" s="36" t="s">
        <v>75</v>
      </c>
      <c r="D10" s="36" t="s">
        <v>60</v>
      </c>
      <c r="E10" s="35" t="s">
        <v>61</v>
      </c>
      <c r="F10" s="35" t="s">
        <v>86</v>
      </c>
      <c r="G10" s="35" t="s">
        <v>87</v>
      </c>
      <c r="H10" s="35" t="s">
        <v>88</v>
      </c>
      <c r="I10" s="37">
        <v>169900</v>
      </c>
      <c r="J10" s="37">
        <v>152300</v>
      </c>
      <c r="K10" s="38">
        <v>540711</v>
      </c>
      <c r="L10" s="38">
        <v>3136</v>
      </c>
      <c r="M10" s="38">
        <v>53</v>
      </c>
      <c r="N10" s="37">
        <v>565000</v>
      </c>
      <c r="O10" s="38">
        <v>99</v>
      </c>
      <c r="P10" s="39">
        <f t="shared" si="0"/>
        <v>48.565051020408163</v>
      </c>
      <c r="Q10" s="39">
        <f t="shared" si="1"/>
        <v>2873.5849056603774</v>
      </c>
      <c r="R10" s="40">
        <f t="shared" si="2"/>
        <v>0.57997710422018411</v>
      </c>
      <c r="S10" s="40">
        <f t="shared" si="3"/>
        <v>1.6900510204081634</v>
      </c>
      <c r="T10" s="40">
        <f t="shared" si="4"/>
        <v>3.7097833223900198</v>
      </c>
      <c r="U10" s="35" t="s">
        <v>65</v>
      </c>
    </row>
    <row r="11" spans="1:21" x14ac:dyDescent="0.25">
      <c r="A11" s="41" t="s">
        <v>94</v>
      </c>
      <c r="B11" s="42" t="s">
        <v>95</v>
      </c>
      <c r="C11" s="42" t="s">
        <v>79</v>
      </c>
      <c r="D11" s="42" t="s">
        <v>60</v>
      </c>
      <c r="E11" s="41" t="s">
        <v>61</v>
      </c>
      <c r="F11" s="41" t="s">
        <v>86</v>
      </c>
      <c r="G11" s="41" t="s">
        <v>87</v>
      </c>
      <c r="H11" s="41" t="s">
        <v>88</v>
      </c>
      <c r="I11" s="43">
        <v>216900</v>
      </c>
      <c r="J11" s="43">
        <v>192500</v>
      </c>
      <c r="K11" s="44">
        <v>465099</v>
      </c>
      <c r="L11" s="44">
        <v>3023</v>
      </c>
      <c r="M11" s="44">
        <v>47</v>
      </c>
      <c r="N11" s="43">
        <v>766200</v>
      </c>
      <c r="O11" s="44">
        <v>114</v>
      </c>
      <c r="P11" s="45">
        <f t="shared" si="0"/>
        <v>63.678465100893149</v>
      </c>
      <c r="Q11" s="45">
        <f t="shared" si="1"/>
        <v>4095.744680851064</v>
      </c>
      <c r="R11" s="46">
        <f t="shared" si="2"/>
        <v>0.64996914635378711</v>
      </c>
      <c r="S11" s="46">
        <f t="shared" si="3"/>
        <v>1.5547469401257028</v>
      </c>
      <c r="T11" s="46">
        <f t="shared" si="4"/>
        <v>3.9802597402597404</v>
      </c>
      <c r="U11" s="41" t="s">
        <v>65</v>
      </c>
    </row>
    <row r="12" spans="1:21" x14ac:dyDescent="0.25">
      <c r="A12" s="35" t="s">
        <v>96</v>
      </c>
      <c r="B12" s="36" t="s">
        <v>97</v>
      </c>
      <c r="C12" s="36" t="s">
        <v>98</v>
      </c>
      <c r="D12" s="36" t="s">
        <v>76</v>
      </c>
      <c r="E12" s="35" t="s">
        <v>61</v>
      </c>
      <c r="F12" s="35" t="s">
        <v>86</v>
      </c>
      <c r="G12" s="35" t="s">
        <v>87</v>
      </c>
      <c r="H12" s="35" t="s">
        <v>88</v>
      </c>
      <c r="I12" s="37">
        <v>105100</v>
      </c>
      <c r="J12" s="37">
        <v>86800</v>
      </c>
      <c r="K12" s="38">
        <v>385599</v>
      </c>
      <c r="L12" s="38">
        <v>7827</v>
      </c>
      <c r="M12" s="38">
        <v>95</v>
      </c>
      <c r="N12" s="37">
        <v>197900</v>
      </c>
      <c r="O12" s="38">
        <v>127</v>
      </c>
      <c r="P12" s="39">
        <f t="shared" si="0"/>
        <v>11.089817299092884</v>
      </c>
      <c r="Q12" s="39">
        <f t="shared" si="1"/>
        <v>913.68421052631584</v>
      </c>
      <c r="R12" s="40">
        <f t="shared" si="2"/>
        <v>2.0298289155314198</v>
      </c>
      <c r="S12" s="40">
        <f t="shared" si="3"/>
        <v>1.2137472850389677</v>
      </c>
      <c r="T12" s="40">
        <f t="shared" si="4"/>
        <v>2.2799539170506913</v>
      </c>
      <c r="U12" s="35" t="s">
        <v>65</v>
      </c>
    </row>
    <row r="13" spans="1:21" x14ac:dyDescent="0.25">
      <c r="A13" s="41" t="s">
        <v>99</v>
      </c>
      <c r="B13" s="42" t="s">
        <v>100</v>
      </c>
      <c r="C13" s="42" t="s">
        <v>75</v>
      </c>
      <c r="D13" s="42" t="s">
        <v>69</v>
      </c>
      <c r="E13" s="41" t="s">
        <v>61</v>
      </c>
      <c r="F13" s="41" t="s">
        <v>101</v>
      </c>
      <c r="G13" s="41" t="s">
        <v>102</v>
      </c>
      <c r="H13" s="41" t="s">
        <v>103</v>
      </c>
      <c r="I13" s="43">
        <v>199200</v>
      </c>
      <c r="J13" s="43">
        <v>191000</v>
      </c>
      <c r="K13" s="44">
        <v>365714</v>
      </c>
      <c r="L13" s="44">
        <v>2377</v>
      </c>
      <c r="M13" s="44">
        <v>44</v>
      </c>
      <c r="N13" s="43">
        <v>573000</v>
      </c>
      <c r="O13" s="44">
        <v>68</v>
      </c>
      <c r="P13" s="45">
        <f t="shared" si="0"/>
        <v>80.353386621792168</v>
      </c>
      <c r="Q13" s="45">
        <f t="shared" si="1"/>
        <v>4340.909090909091</v>
      </c>
      <c r="R13" s="46">
        <f t="shared" si="2"/>
        <v>0.64996144528237909</v>
      </c>
      <c r="S13" s="46">
        <f t="shared" si="3"/>
        <v>1.8510727808161549</v>
      </c>
      <c r="T13" s="46">
        <f t="shared" si="4"/>
        <v>3</v>
      </c>
      <c r="U13" s="41" t="s">
        <v>65</v>
      </c>
    </row>
    <row r="14" spans="1:21" x14ac:dyDescent="0.25">
      <c r="A14" s="35" t="s">
        <v>104</v>
      </c>
      <c r="B14" s="36" t="s">
        <v>105</v>
      </c>
      <c r="C14" s="36" t="s">
        <v>72</v>
      </c>
      <c r="D14" s="36" t="s">
        <v>83</v>
      </c>
      <c r="E14" s="35" t="s">
        <v>61</v>
      </c>
      <c r="F14" s="35" t="s">
        <v>101</v>
      </c>
      <c r="G14" s="35" t="s">
        <v>102</v>
      </c>
      <c r="H14" s="35" t="s">
        <v>103</v>
      </c>
      <c r="I14" s="37">
        <v>42100</v>
      </c>
      <c r="J14" s="37">
        <v>32800</v>
      </c>
      <c r="K14" s="38">
        <v>321273</v>
      </c>
      <c r="L14" s="38">
        <v>77908</v>
      </c>
      <c r="M14" s="38">
        <v>8289</v>
      </c>
      <c r="N14" s="37">
        <v>288000</v>
      </c>
      <c r="O14" s="38">
        <v>21019</v>
      </c>
      <c r="P14" s="39">
        <f t="shared" si="0"/>
        <v>0.42100939569748935</v>
      </c>
      <c r="Q14" s="39">
        <f t="shared" si="1"/>
        <v>3.9570515140547715</v>
      </c>
      <c r="R14" s="40">
        <f t="shared" si="2"/>
        <v>24.249781338612333</v>
      </c>
      <c r="S14" s="40">
        <f t="shared" si="3"/>
        <v>10.639472197977101</v>
      </c>
      <c r="T14" s="40">
        <f t="shared" si="4"/>
        <v>8.7804878048780495</v>
      </c>
      <c r="U14" s="35" t="s">
        <v>65</v>
      </c>
    </row>
    <row r="15" spans="1:21" x14ac:dyDescent="0.25">
      <c r="A15" s="41" t="s">
        <v>106</v>
      </c>
      <c r="B15" s="42" t="s">
        <v>107</v>
      </c>
      <c r="C15" s="42" t="s">
        <v>68</v>
      </c>
      <c r="D15" s="42" t="s">
        <v>76</v>
      </c>
      <c r="E15" s="41" t="s">
        <v>61</v>
      </c>
      <c r="F15" s="41" t="s">
        <v>101</v>
      </c>
      <c r="G15" s="41" t="s">
        <v>102</v>
      </c>
      <c r="H15" s="41" t="s">
        <v>103</v>
      </c>
      <c r="I15" s="43">
        <v>23300</v>
      </c>
      <c r="J15" s="43">
        <v>18700</v>
      </c>
      <c r="K15" s="44">
        <v>374947</v>
      </c>
      <c r="L15" s="44">
        <v>9598</v>
      </c>
      <c r="M15" s="44">
        <v>239</v>
      </c>
      <c r="N15" s="43">
        <v>121200</v>
      </c>
      <c r="O15" s="44">
        <v>442</v>
      </c>
      <c r="P15" s="45">
        <f t="shared" si="0"/>
        <v>1.9483225672015003</v>
      </c>
      <c r="Q15" s="45">
        <f t="shared" si="1"/>
        <v>78.242677824267787</v>
      </c>
      <c r="R15" s="46">
        <f t="shared" si="2"/>
        <v>2.5598284557550799</v>
      </c>
      <c r="S15" s="46">
        <f t="shared" si="3"/>
        <v>2.4901021046051262</v>
      </c>
      <c r="T15" s="46">
        <f t="shared" si="4"/>
        <v>6.4812834224598932</v>
      </c>
      <c r="U15" s="41" t="s">
        <v>65</v>
      </c>
    </row>
    <row r="16" spans="1:21" x14ac:dyDescent="0.25">
      <c r="A16" s="35" t="s">
        <v>108</v>
      </c>
      <c r="B16" s="36" t="s">
        <v>109</v>
      </c>
      <c r="C16" s="36" t="s">
        <v>82</v>
      </c>
      <c r="D16" s="36" t="s">
        <v>50</v>
      </c>
      <c r="E16" s="35" t="s">
        <v>61</v>
      </c>
      <c r="F16" s="35" t="s">
        <v>101</v>
      </c>
      <c r="G16" s="35" t="s">
        <v>102</v>
      </c>
      <c r="H16" s="35" t="s">
        <v>103</v>
      </c>
      <c r="I16" s="37">
        <v>222300</v>
      </c>
      <c r="J16" s="37">
        <v>170400</v>
      </c>
      <c r="K16" s="38">
        <v>696176</v>
      </c>
      <c r="L16" s="38">
        <v>15663</v>
      </c>
      <c r="M16" s="38">
        <v>274</v>
      </c>
      <c r="N16" s="37">
        <v>509500</v>
      </c>
      <c r="O16" s="38">
        <v>644</v>
      </c>
      <c r="P16" s="39">
        <f t="shared" si="0"/>
        <v>10.87914192683394</v>
      </c>
      <c r="Q16" s="39">
        <f t="shared" si="1"/>
        <v>621.89781021897807</v>
      </c>
      <c r="R16" s="40">
        <f t="shared" si="2"/>
        <v>2.2498621038358113</v>
      </c>
      <c r="S16" s="40">
        <f t="shared" si="3"/>
        <v>1.7493455915214198</v>
      </c>
      <c r="T16" s="40">
        <f t="shared" si="4"/>
        <v>2.990023474178404</v>
      </c>
      <c r="U16" s="35" t="s">
        <v>65</v>
      </c>
    </row>
    <row r="17" spans="1:21" x14ac:dyDescent="0.25">
      <c r="A17" s="41" t="s">
        <v>110</v>
      </c>
      <c r="B17" s="42" t="s">
        <v>111</v>
      </c>
      <c r="C17" s="42" t="s">
        <v>79</v>
      </c>
      <c r="D17" s="42" t="s">
        <v>60</v>
      </c>
      <c r="E17" s="41" t="s">
        <v>61</v>
      </c>
      <c r="F17" s="41" t="s">
        <v>101</v>
      </c>
      <c r="G17" s="41" t="s">
        <v>102</v>
      </c>
      <c r="H17" s="41" t="s">
        <v>103</v>
      </c>
      <c r="I17" s="43">
        <v>55600</v>
      </c>
      <c r="J17" s="43">
        <v>50900</v>
      </c>
      <c r="K17" s="44">
        <v>82876</v>
      </c>
      <c r="L17" s="44">
        <v>1069</v>
      </c>
      <c r="M17" s="44">
        <v>30</v>
      </c>
      <c r="N17" s="43">
        <v>129300</v>
      </c>
      <c r="O17" s="44">
        <v>66</v>
      </c>
      <c r="P17" s="45">
        <f t="shared" si="0"/>
        <v>47.61459307764266</v>
      </c>
      <c r="Q17" s="45">
        <f t="shared" si="1"/>
        <v>1696.6666666666667</v>
      </c>
      <c r="R17" s="46">
        <f t="shared" si="2"/>
        <v>1.2898788551571021</v>
      </c>
      <c r="S17" s="46">
        <f t="shared" si="3"/>
        <v>2.8063610851262863</v>
      </c>
      <c r="T17" s="46">
        <f t="shared" si="4"/>
        <v>2.5402750491159134</v>
      </c>
      <c r="U17" s="41" t="s">
        <v>65</v>
      </c>
    </row>
    <row r="18" spans="1:21" x14ac:dyDescent="0.25">
      <c r="A18" s="35" t="s">
        <v>112</v>
      </c>
      <c r="B18" s="36" t="s">
        <v>113</v>
      </c>
      <c r="C18" s="36" t="s">
        <v>98</v>
      </c>
      <c r="D18" s="36" t="s">
        <v>76</v>
      </c>
      <c r="E18" s="35" t="s">
        <v>61</v>
      </c>
      <c r="F18" s="35" t="s">
        <v>101</v>
      </c>
      <c r="G18" s="35" t="s">
        <v>102</v>
      </c>
      <c r="H18" s="35" t="s">
        <v>103</v>
      </c>
      <c r="I18" s="37">
        <v>223700</v>
      </c>
      <c r="J18" s="37">
        <v>184800</v>
      </c>
      <c r="K18" s="38">
        <v>71184</v>
      </c>
      <c r="L18" s="38">
        <v>1978</v>
      </c>
      <c r="M18" s="38">
        <v>26</v>
      </c>
      <c r="N18" s="37">
        <v>489700</v>
      </c>
      <c r="O18" s="38">
        <v>40</v>
      </c>
      <c r="P18" s="39">
        <f t="shared" si="0"/>
        <v>93.427704752275019</v>
      </c>
      <c r="Q18" s="39">
        <f t="shared" si="1"/>
        <v>7107.6923076923076</v>
      </c>
      <c r="R18" s="40">
        <f t="shared" si="2"/>
        <v>2.7787143178242304</v>
      </c>
      <c r="S18" s="40">
        <f t="shared" si="3"/>
        <v>1.314459049544995</v>
      </c>
      <c r="T18" s="40">
        <f t="shared" si="4"/>
        <v>2.649891774891775</v>
      </c>
      <c r="U18" s="35" t="s">
        <v>65</v>
      </c>
    </row>
    <row r="19" spans="1:21" x14ac:dyDescent="0.25">
      <c r="A19" s="41" t="s">
        <v>114</v>
      </c>
      <c r="B19" s="42" t="s">
        <v>115</v>
      </c>
      <c r="C19" s="42" t="s">
        <v>91</v>
      </c>
      <c r="D19" s="42" t="s">
        <v>76</v>
      </c>
      <c r="E19" s="41" t="s">
        <v>61</v>
      </c>
      <c r="F19" s="41" t="s">
        <v>101</v>
      </c>
      <c r="G19" s="41" t="s">
        <v>102</v>
      </c>
      <c r="H19" s="41" t="s">
        <v>103</v>
      </c>
      <c r="I19" s="43">
        <v>159700</v>
      </c>
      <c r="J19" s="43">
        <v>158500</v>
      </c>
      <c r="K19" s="44">
        <v>415335</v>
      </c>
      <c r="L19" s="44">
        <v>27578</v>
      </c>
      <c r="M19" s="44">
        <v>1252</v>
      </c>
      <c r="N19" s="43">
        <v>492900</v>
      </c>
      <c r="O19" s="44">
        <v>2114</v>
      </c>
      <c r="P19" s="45">
        <f t="shared" si="0"/>
        <v>5.7473348321125535</v>
      </c>
      <c r="Q19" s="45">
        <f t="shared" si="1"/>
        <v>126.59744408945687</v>
      </c>
      <c r="R19" s="46">
        <f t="shared" si="2"/>
        <v>6.639941252242167</v>
      </c>
      <c r="S19" s="46">
        <f t="shared" si="3"/>
        <v>4.5398506055551531</v>
      </c>
      <c r="T19" s="46">
        <f t="shared" si="4"/>
        <v>3.1097791798107255</v>
      </c>
      <c r="U19" s="41" t="s">
        <v>65</v>
      </c>
    </row>
    <row r="20" spans="1:21" x14ac:dyDescent="0.25">
      <c r="A20" s="35" t="s">
        <v>116</v>
      </c>
      <c r="B20" s="36" t="s">
        <v>117</v>
      </c>
      <c r="C20" s="36" t="s">
        <v>59</v>
      </c>
      <c r="D20" s="36" t="s">
        <v>69</v>
      </c>
      <c r="E20" s="35" t="s">
        <v>118</v>
      </c>
      <c r="F20" s="35" t="s">
        <v>119</v>
      </c>
      <c r="G20" s="35" t="s">
        <v>120</v>
      </c>
      <c r="H20" s="35" t="s">
        <v>121</v>
      </c>
      <c r="I20" s="37">
        <v>11100</v>
      </c>
      <c r="J20" s="37">
        <v>9900</v>
      </c>
      <c r="K20" s="38">
        <v>179517</v>
      </c>
      <c r="L20" s="38">
        <v>57589</v>
      </c>
      <c r="M20" s="38">
        <v>3749</v>
      </c>
      <c r="N20" s="37">
        <v>33100</v>
      </c>
      <c r="O20" s="38">
        <v>7731</v>
      </c>
      <c r="P20" s="39">
        <f t="shared" si="0"/>
        <v>0.17190782962023998</v>
      </c>
      <c r="Q20" s="39">
        <f t="shared" si="1"/>
        <v>2.6407041877834088</v>
      </c>
      <c r="R20" s="40">
        <f t="shared" si="2"/>
        <v>32.079970142103534</v>
      </c>
      <c r="S20" s="40">
        <f t="shared" si="3"/>
        <v>6.5099237701644412</v>
      </c>
      <c r="T20" s="40">
        <f t="shared" si="4"/>
        <v>3.3434343434343434</v>
      </c>
      <c r="U20" s="35" t="s">
        <v>65</v>
      </c>
    </row>
    <row r="21" spans="1:21" x14ac:dyDescent="0.25">
      <c r="A21" s="41" t="s">
        <v>122</v>
      </c>
      <c r="B21" s="42" t="s">
        <v>123</v>
      </c>
      <c r="C21" s="42" t="s">
        <v>68</v>
      </c>
      <c r="D21" s="42" t="s">
        <v>69</v>
      </c>
      <c r="E21" s="41" t="s">
        <v>118</v>
      </c>
      <c r="F21" s="41" t="s">
        <v>119</v>
      </c>
      <c r="G21" s="41" t="s">
        <v>120</v>
      </c>
      <c r="H21" s="41" t="s">
        <v>121</v>
      </c>
      <c r="I21" s="43">
        <v>79900</v>
      </c>
      <c r="J21" s="43">
        <v>64300</v>
      </c>
      <c r="K21" s="44">
        <v>442702</v>
      </c>
      <c r="L21" s="44">
        <v>17619</v>
      </c>
      <c r="M21" s="44">
        <v>588</v>
      </c>
      <c r="N21" s="43">
        <v>428200</v>
      </c>
      <c r="O21" s="44">
        <v>1147</v>
      </c>
      <c r="P21" s="45">
        <f t="shared" si="0"/>
        <v>3.6494693228900617</v>
      </c>
      <c r="Q21" s="45">
        <f t="shared" si="1"/>
        <v>109.35374149659864</v>
      </c>
      <c r="R21" s="46">
        <f t="shared" si="2"/>
        <v>3.9798781121386391</v>
      </c>
      <c r="S21" s="46">
        <f t="shared" si="3"/>
        <v>3.3373063170441002</v>
      </c>
      <c r="T21" s="46">
        <f t="shared" si="4"/>
        <v>6.659409020217729</v>
      </c>
      <c r="U21" s="41" t="s">
        <v>65</v>
      </c>
    </row>
    <row r="22" spans="1:21" x14ac:dyDescent="0.25">
      <c r="A22" s="35" t="s">
        <v>124</v>
      </c>
      <c r="B22" s="36" t="s">
        <v>125</v>
      </c>
      <c r="C22" s="36" t="s">
        <v>72</v>
      </c>
      <c r="D22" s="36" t="s">
        <v>69</v>
      </c>
      <c r="E22" s="35" t="s">
        <v>118</v>
      </c>
      <c r="F22" s="35" t="s">
        <v>119</v>
      </c>
      <c r="G22" s="35" t="s">
        <v>120</v>
      </c>
      <c r="H22" s="35" t="s">
        <v>121</v>
      </c>
      <c r="I22" s="37">
        <v>35700</v>
      </c>
      <c r="J22" s="37">
        <v>28300</v>
      </c>
      <c r="K22" s="38">
        <v>296515</v>
      </c>
      <c r="L22" s="38">
        <v>61615</v>
      </c>
      <c r="M22" s="38">
        <v>7443</v>
      </c>
      <c r="N22" s="37">
        <v>219600</v>
      </c>
      <c r="O22" s="38">
        <v>13631</v>
      </c>
      <c r="P22" s="39">
        <f t="shared" si="0"/>
        <v>0.45930374097216586</v>
      </c>
      <c r="Q22" s="39">
        <f t="shared" si="1"/>
        <v>3.802230283487841</v>
      </c>
      <c r="R22" s="40">
        <f t="shared" si="2"/>
        <v>20.779724465878623</v>
      </c>
      <c r="S22" s="40">
        <f t="shared" si="3"/>
        <v>12.079850685709649</v>
      </c>
      <c r="T22" s="40">
        <f t="shared" si="4"/>
        <v>7.7597173144876326</v>
      </c>
      <c r="U22" s="35" t="s">
        <v>65</v>
      </c>
    </row>
    <row r="23" spans="1:21" x14ac:dyDescent="0.25">
      <c r="A23" s="41" t="s">
        <v>126</v>
      </c>
      <c r="B23" s="42" t="s">
        <v>127</v>
      </c>
      <c r="C23" s="42" t="s">
        <v>98</v>
      </c>
      <c r="D23" s="42" t="s">
        <v>50</v>
      </c>
      <c r="E23" s="41" t="s">
        <v>118</v>
      </c>
      <c r="F23" s="41" t="s">
        <v>119</v>
      </c>
      <c r="G23" s="41" t="s">
        <v>120</v>
      </c>
      <c r="H23" s="41" t="s">
        <v>121</v>
      </c>
      <c r="I23" s="43">
        <v>164400</v>
      </c>
      <c r="J23" s="43">
        <v>158600</v>
      </c>
      <c r="K23" s="44">
        <v>350851</v>
      </c>
      <c r="L23" s="44">
        <v>7543</v>
      </c>
      <c r="M23" s="44">
        <v>77</v>
      </c>
      <c r="N23" s="43">
        <v>358400</v>
      </c>
      <c r="O23" s="44">
        <v>151</v>
      </c>
      <c r="P23" s="45">
        <f t="shared" si="0"/>
        <v>21.026116929603607</v>
      </c>
      <c r="Q23" s="45">
        <f t="shared" si="1"/>
        <v>2059.7402597402597</v>
      </c>
      <c r="R23" s="46">
        <f t="shared" si="2"/>
        <v>2.1499154911914173</v>
      </c>
      <c r="S23" s="46">
        <f t="shared" si="3"/>
        <v>1.0208139997348535</v>
      </c>
      <c r="T23" s="46">
        <f t="shared" si="4"/>
        <v>2.2597730138713747</v>
      </c>
      <c r="U23" s="41" t="s">
        <v>65</v>
      </c>
    </row>
    <row r="24" spans="1:21" x14ac:dyDescent="0.25">
      <c r="A24" s="35" t="s">
        <v>128</v>
      </c>
      <c r="B24" s="36" t="s">
        <v>129</v>
      </c>
      <c r="C24" s="36" t="s">
        <v>82</v>
      </c>
      <c r="D24" s="36" t="s">
        <v>50</v>
      </c>
      <c r="E24" s="35" t="s">
        <v>118</v>
      </c>
      <c r="F24" s="35" t="s">
        <v>119</v>
      </c>
      <c r="G24" s="35" t="s">
        <v>120</v>
      </c>
      <c r="H24" s="35" t="s">
        <v>121</v>
      </c>
      <c r="I24" s="37">
        <v>265300</v>
      </c>
      <c r="J24" s="37">
        <v>253900</v>
      </c>
      <c r="K24" s="38">
        <v>647003</v>
      </c>
      <c r="L24" s="38">
        <v>22321</v>
      </c>
      <c r="M24" s="38">
        <v>303</v>
      </c>
      <c r="N24" s="37">
        <v>1119700</v>
      </c>
      <c r="O24" s="38">
        <v>632</v>
      </c>
      <c r="P24" s="39">
        <f t="shared" si="0"/>
        <v>11.374938398817257</v>
      </c>
      <c r="Q24" s="39">
        <f t="shared" si="1"/>
        <v>837.95379537953795</v>
      </c>
      <c r="R24" s="40">
        <f t="shared" si="2"/>
        <v>3.4499067237709875</v>
      </c>
      <c r="S24" s="40">
        <f t="shared" si="3"/>
        <v>1.3574660633484164</v>
      </c>
      <c r="T24" s="40">
        <f t="shared" si="4"/>
        <v>4.4100039385584875</v>
      </c>
      <c r="U24" s="35" t="s">
        <v>65</v>
      </c>
    </row>
    <row r="25" spans="1:21" x14ac:dyDescent="0.25">
      <c r="A25" s="41" t="s">
        <v>130</v>
      </c>
      <c r="B25" s="42" t="s">
        <v>131</v>
      </c>
      <c r="C25" s="42" t="s">
        <v>91</v>
      </c>
      <c r="D25" s="42" t="s">
        <v>69</v>
      </c>
      <c r="E25" s="41" t="s">
        <v>118</v>
      </c>
      <c r="F25" s="41" t="s">
        <v>119</v>
      </c>
      <c r="G25" s="41" t="s">
        <v>120</v>
      </c>
      <c r="H25" s="41" t="s">
        <v>121</v>
      </c>
      <c r="I25" s="43">
        <v>273500</v>
      </c>
      <c r="J25" s="43">
        <v>243700</v>
      </c>
      <c r="K25" s="44">
        <v>154242</v>
      </c>
      <c r="L25" s="44">
        <v>7141</v>
      </c>
      <c r="M25" s="44">
        <v>344</v>
      </c>
      <c r="N25" s="43">
        <v>1220900</v>
      </c>
      <c r="O25" s="44">
        <v>692</v>
      </c>
      <c r="P25" s="45">
        <f t="shared" si="0"/>
        <v>34.126872986976615</v>
      </c>
      <c r="Q25" s="45">
        <f t="shared" si="1"/>
        <v>708.43023255813955</v>
      </c>
      <c r="R25" s="46">
        <f t="shared" si="2"/>
        <v>4.629737684936658</v>
      </c>
      <c r="S25" s="46">
        <f t="shared" si="3"/>
        <v>4.817252485646268</v>
      </c>
      <c r="T25" s="46">
        <f t="shared" si="4"/>
        <v>5.0098481739844072</v>
      </c>
      <c r="U25" s="41" t="s">
        <v>65</v>
      </c>
    </row>
    <row r="26" spans="1:21" x14ac:dyDescent="0.25">
      <c r="A26" s="35" t="s">
        <v>132</v>
      </c>
      <c r="B26" s="36" t="s">
        <v>133</v>
      </c>
      <c r="C26" s="36" t="s">
        <v>79</v>
      </c>
      <c r="D26" s="36" t="s">
        <v>76</v>
      </c>
      <c r="E26" s="35" t="s">
        <v>118</v>
      </c>
      <c r="F26" s="35" t="s">
        <v>119</v>
      </c>
      <c r="G26" s="35" t="s">
        <v>120</v>
      </c>
      <c r="H26" s="35" t="s">
        <v>121</v>
      </c>
      <c r="I26" s="37">
        <v>175900</v>
      </c>
      <c r="J26" s="37">
        <v>149700</v>
      </c>
      <c r="K26" s="38">
        <v>545625</v>
      </c>
      <c r="L26" s="38">
        <v>7747</v>
      </c>
      <c r="M26" s="38">
        <v>79</v>
      </c>
      <c r="N26" s="37">
        <v>642200</v>
      </c>
      <c r="O26" s="38">
        <v>192</v>
      </c>
      <c r="P26" s="39">
        <f t="shared" si="0"/>
        <v>19.323609139021556</v>
      </c>
      <c r="Q26" s="39">
        <f t="shared" si="1"/>
        <v>1894.9367088607594</v>
      </c>
      <c r="R26" s="40">
        <f t="shared" si="2"/>
        <v>1.4198396334478809</v>
      </c>
      <c r="S26" s="40">
        <f t="shared" si="3"/>
        <v>1.0197495804827676</v>
      </c>
      <c r="T26" s="40">
        <f t="shared" si="4"/>
        <v>4.289913159652639</v>
      </c>
      <c r="U26" s="35" t="s">
        <v>65</v>
      </c>
    </row>
    <row r="27" spans="1:21" x14ac:dyDescent="0.25">
      <c r="A27" s="41" t="s">
        <v>134</v>
      </c>
      <c r="B27" s="42" t="s">
        <v>135</v>
      </c>
      <c r="C27" s="42" t="s">
        <v>72</v>
      </c>
      <c r="D27" s="42" t="s">
        <v>50</v>
      </c>
      <c r="E27" s="41" t="s">
        <v>118</v>
      </c>
      <c r="F27" s="41" t="s">
        <v>136</v>
      </c>
      <c r="G27" s="41" t="s">
        <v>137</v>
      </c>
      <c r="H27" s="41" t="s">
        <v>138</v>
      </c>
      <c r="I27" s="43">
        <v>46600</v>
      </c>
      <c r="J27" s="43">
        <v>46500</v>
      </c>
      <c r="K27" s="44">
        <v>120065</v>
      </c>
      <c r="L27" s="44">
        <v>35731</v>
      </c>
      <c r="M27" s="44">
        <v>4205</v>
      </c>
      <c r="N27" s="43">
        <v>261300</v>
      </c>
      <c r="O27" s="44">
        <v>10070</v>
      </c>
      <c r="P27" s="45">
        <f t="shared" si="0"/>
        <v>1.3013909490358513</v>
      </c>
      <c r="Q27" s="45">
        <f t="shared" si="1"/>
        <v>11.058263971462544</v>
      </c>
      <c r="R27" s="46">
        <f t="shared" si="2"/>
        <v>29.759713488527044</v>
      </c>
      <c r="S27" s="46">
        <f t="shared" si="3"/>
        <v>11.768492345582267</v>
      </c>
      <c r="T27" s="46">
        <f t="shared" si="4"/>
        <v>5.6193548387096772</v>
      </c>
      <c r="U27" s="41" t="s">
        <v>65</v>
      </c>
    </row>
    <row r="28" spans="1:21" x14ac:dyDescent="0.25">
      <c r="A28" s="35" t="s">
        <v>139</v>
      </c>
      <c r="B28" s="36" t="s">
        <v>140</v>
      </c>
      <c r="C28" s="36" t="s">
        <v>82</v>
      </c>
      <c r="D28" s="36" t="s">
        <v>69</v>
      </c>
      <c r="E28" s="35" t="s">
        <v>118</v>
      </c>
      <c r="F28" s="35" t="s">
        <v>136</v>
      </c>
      <c r="G28" s="35" t="s">
        <v>137</v>
      </c>
      <c r="H28" s="35" t="s">
        <v>138</v>
      </c>
      <c r="I28" s="37">
        <v>64000</v>
      </c>
      <c r="J28" s="37">
        <v>55800</v>
      </c>
      <c r="K28" s="38">
        <v>450045</v>
      </c>
      <c r="L28" s="38">
        <v>13051</v>
      </c>
      <c r="M28" s="38">
        <v>143</v>
      </c>
      <c r="N28" s="37">
        <v>163500</v>
      </c>
      <c r="O28" s="38">
        <v>292</v>
      </c>
      <c r="P28" s="39">
        <f t="shared" si="0"/>
        <v>4.2755344418052257</v>
      </c>
      <c r="Q28" s="39">
        <f t="shared" si="1"/>
        <v>390.20979020979019</v>
      </c>
      <c r="R28" s="40">
        <f t="shared" si="2"/>
        <v>2.8999322289993223</v>
      </c>
      <c r="S28" s="40">
        <f t="shared" si="3"/>
        <v>1.0957014788138839</v>
      </c>
      <c r="T28" s="40">
        <f t="shared" si="4"/>
        <v>2.9301075268817205</v>
      </c>
      <c r="U28" s="35" t="s">
        <v>65</v>
      </c>
    </row>
    <row r="29" spans="1:21" x14ac:dyDescent="0.25">
      <c r="A29" s="41" t="s">
        <v>141</v>
      </c>
      <c r="B29" s="42" t="s">
        <v>142</v>
      </c>
      <c r="C29" s="42" t="s">
        <v>98</v>
      </c>
      <c r="D29" s="42" t="s">
        <v>83</v>
      </c>
      <c r="E29" s="41" t="s">
        <v>118</v>
      </c>
      <c r="F29" s="41" t="s">
        <v>136</v>
      </c>
      <c r="G29" s="41" t="s">
        <v>137</v>
      </c>
      <c r="H29" s="41" t="s">
        <v>138</v>
      </c>
      <c r="I29" s="43">
        <v>146200</v>
      </c>
      <c r="J29" s="43">
        <v>134600</v>
      </c>
      <c r="K29" s="44">
        <v>201732</v>
      </c>
      <c r="L29" s="44">
        <v>3247</v>
      </c>
      <c r="M29" s="44">
        <v>34</v>
      </c>
      <c r="N29" s="43">
        <v>350000</v>
      </c>
      <c r="O29" s="44">
        <v>101</v>
      </c>
      <c r="P29" s="45">
        <f t="shared" si="0"/>
        <v>41.453649522636283</v>
      </c>
      <c r="Q29" s="45">
        <f t="shared" si="1"/>
        <v>3958.8235294117649</v>
      </c>
      <c r="R29" s="46">
        <f t="shared" si="2"/>
        <v>1.6095612000079313</v>
      </c>
      <c r="S29" s="46">
        <f t="shared" si="3"/>
        <v>1.0471204188481675</v>
      </c>
      <c r="T29" s="46">
        <f t="shared" si="4"/>
        <v>2.6002971768202081</v>
      </c>
      <c r="U29" s="41" t="s">
        <v>65</v>
      </c>
    </row>
    <row r="30" spans="1:21" x14ac:dyDescent="0.25">
      <c r="A30" s="35" t="s">
        <v>143</v>
      </c>
      <c r="B30" s="36" t="s">
        <v>144</v>
      </c>
      <c r="C30" s="36" t="s">
        <v>91</v>
      </c>
      <c r="D30" s="36" t="s">
        <v>76</v>
      </c>
      <c r="E30" s="35" t="s">
        <v>118</v>
      </c>
      <c r="F30" s="35" t="s">
        <v>136</v>
      </c>
      <c r="G30" s="35" t="s">
        <v>137</v>
      </c>
      <c r="H30" s="35" t="s">
        <v>138</v>
      </c>
      <c r="I30" s="37">
        <v>365100</v>
      </c>
      <c r="J30" s="37">
        <v>339100</v>
      </c>
      <c r="K30" s="38">
        <v>158783</v>
      </c>
      <c r="L30" s="38">
        <v>10368</v>
      </c>
      <c r="M30" s="38">
        <v>461</v>
      </c>
      <c r="N30" s="37">
        <v>1193600</v>
      </c>
      <c r="O30" s="38">
        <v>1146</v>
      </c>
      <c r="P30" s="39">
        <f t="shared" si="0"/>
        <v>32.706404320987652</v>
      </c>
      <c r="Q30" s="39">
        <f t="shared" si="1"/>
        <v>735.57483731019522</v>
      </c>
      <c r="R30" s="40">
        <f t="shared" si="2"/>
        <v>6.5296662740973526</v>
      </c>
      <c r="S30" s="40">
        <f t="shared" si="3"/>
        <v>4.4463734567901234</v>
      </c>
      <c r="T30" s="40">
        <f t="shared" si="4"/>
        <v>3.5199056325567679</v>
      </c>
      <c r="U30" s="35" t="s">
        <v>65</v>
      </c>
    </row>
    <row r="31" spans="1:21" x14ac:dyDescent="0.25">
      <c r="A31" s="41" t="s">
        <v>145</v>
      </c>
      <c r="B31" s="42" t="s">
        <v>146</v>
      </c>
      <c r="C31" s="42" t="s">
        <v>59</v>
      </c>
      <c r="D31" s="42" t="s">
        <v>69</v>
      </c>
      <c r="E31" s="41" t="s">
        <v>118</v>
      </c>
      <c r="F31" s="41" t="s">
        <v>136</v>
      </c>
      <c r="G31" s="41" t="s">
        <v>137</v>
      </c>
      <c r="H31" s="41" t="s">
        <v>138</v>
      </c>
      <c r="I31" s="43">
        <v>19100</v>
      </c>
      <c r="J31" s="43">
        <v>16500</v>
      </c>
      <c r="K31" s="44">
        <v>527799</v>
      </c>
      <c r="L31" s="44">
        <v>218772</v>
      </c>
      <c r="M31" s="44">
        <v>19798</v>
      </c>
      <c r="N31" s="43">
        <v>56900</v>
      </c>
      <c r="O31" s="44">
        <v>30191</v>
      </c>
      <c r="P31" s="45">
        <f t="shared" si="0"/>
        <v>7.5420986232241791E-2</v>
      </c>
      <c r="Q31" s="45">
        <f t="shared" si="1"/>
        <v>0.83341751692090105</v>
      </c>
      <c r="R31" s="46">
        <f t="shared" si="2"/>
        <v>41.449870121011976</v>
      </c>
      <c r="S31" s="46">
        <f t="shared" si="3"/>
        <v>9.0496041540965031</v>
      </c>
      <c r="T31" s="46">
        <f t="shared" si="4"/>
        <v>3.4484848484848483</v>
      </c>
      <c r="U31" s="41" t="s">
        <v>65</v>
      </c>
    </row>
    <row r="32" spans="1:21" x14ac:dyDescent="0.25">
      <c r="A32" s="35" t="s">
        <v>147</v>
      </c>
      <c r="B32" s="36" t="s">
        <v>148</v>
      </c>
      <c r="C32" s="36" t="s">
        <v>79</v>
      </c>
      <c r="D32" s="36" t="s">
        <v>83</v>
      </c>
      <c r="E32" s="35" t="s">
        <v>118</v>
      </c>
      <c r="F32" s="35" t="s">
        <v>136</v>
      </c>
      <c r="G32" s="35" t="s">
        <v>137</v>
      </c>
      <c r="H32" s="35" t="s">
        <v>138</v>
      </c>
      <c r="I32" s="37">
        <v>230600</v>
      </c>
      <c r="J32" s="37">
        <v>230600</v>
      </c>
      <c r="K32" s="38">
        <v>666391</v>
      </c>
      <c r="L32" s="38">
        <v>3998</v>
      </c>
      <c r="M32" s="38">
        <v>106</v>
      </c>
      <c r="N32" s="37">
        <v>931600</v>
      </c>
      <c r="O32" s="38">
        <v>301</v>
      </c>
      <c r="P32" s="39">
        <f t="shared" si="0"/>
        <v>57.678839419709853</v>
      </c>
      <c r="Q32" s="39">
        <f t="shared" si="1"/>
        <v>2175.4716981132074</v>
      </c>
      <c r="R32" s="40">
        <f t="shared" si="2"/>
        <v>0.59994807853047238</v>
      </c>
      <c r="S32" s="40">
        <f t="shared" si="3"/>
        <v>2.6513256628314155</v>
      </c>
      <c r="T32" s="40">
        <f t="shared" si="4"/>
        <v>4.0398959236773635</v>
      </c>
      <c r="U32" s="35" t="s">
        <v>65</v>
      </c>
    </row>
    <row r="33" spans="1:21" x14ac:dyDescent="0.25">
      <c r="A33" s="41" t="s">
        <v>149</v>
      </c>
      <c r="B33" s="42" t="s">
        <v>150</v>
      </c>
      <c r="C33" s="42" t="s">
        <v>68</v>
      </c>
      <c r="D33" s="42" t="s">
        <v>60</v>
      </c>
      <c r="E33" s="41" t="s">
        <v>118</v>
      </c>
      <c r="F33" s="41" t="s">
        <v>136</v>
      </c>
      <c r="G33" s="41" t="s">
        <v>137</v>
      </c>
      <c r="H33" s="41" t="s">
        <v>138</v>
      </c>
      <c r="I33" s="43">
        <v>49400</v>
      </c>
      <c r="J33" s="43">
        <v>46300</v>
      </c>
      <c r="K33" s="44">
        <v>138697</v>
      </c>
      <c r="L33" s="44">
        <v>6338</v>
      </c>
      <c r="M33" s="44">
        <v>228</v>
      </c>
      <c r="N33" s="43">
        <v>225900</v>
      </c>
      <c r="O33" s="44">
        <v>671</v>
      </c>
      <c r="P33" s="45">
        <f t="shared" si="0"/>
        <v>7.3051435784159038</v>
      </c>
      <c r="Q33" s="45">
        <f t="shared" si="1"/>
        <v>203.07017543859649</v>
      </c>
      <c r="R33" s="46">
        <f t="shared" si="2"/>
        <v>4.5696734608535152</v>
      </c>
      <c r="S33" s="46">
        <f t="shared" si="3"/>
        <v>3.5973493215525405</v>
      </c>
      <c r="T33" s="46">
        <f t="shared" si="4"/>
        <v>4.8790496760259181</v>
      </c>
      <c r="U33" s="41" t="s">
        <v>65</v>
      </c>
    </row>
    <row r="34" spans="1:21" x14ac:dyDescent="0.25">
      <c r="A34" s="35" t="s">
        <v>151</v>
      </c>
      <c r="B34" s="36" t="s">
        <v>152</v>
      </c>
      <c r="C34" s="36" t="s">
        <v>75</v>
      </c>
      <c r="D34" s="36" t="s">
        <v>69</v>
      </c>
      <c r="E34" s="35" t="s">
        <v>118</v>
      </c>
      <c r="F34" s="35" t="s">
        <v>136</v>
      </c>
      <c r="G34" s="35" t="s">
        <v>137</v>
      </c>
      <c r="H34" s="35" t="s">
        <v>138</v>
      </c>
      <c r="I34" s="37">
        <v>188500</v>
      </c>
      <c r="J34" s="37">
        <v>187900</v>
      </c>
      <c r="K34" s="38">
        <v>142545</v>
      </c>
      <c r="L34" s="38">
        <v>2337</v>
      </c>
      <c r="M34" s="38">
        <v>14</v>
      </c>
      <c r="N34" s="37">
        <v>590000</v>
      </c>
      <c r="O34" s="38">
        <v>41</v>
      </c>
      <c r="P34" s="39">
        <f t="shared" ref="P34:P65" si="5">J34/L34</f>
        <v>80.402225074882324</v>
      </c>
      <c r="Q34" s="39">
        <f t="shared" ref="Q34:Q65" si="6">IFERROR(J34/M34,0)</f>
        <v>13421.428571428571</v>
      </c>
      <c r="R34" s="40">
        <f t="shared" ref="R34:R65" si="7">L34/K34*100</f>
        <v>1.6394822687572346</v>
      </c>
      <c r="S34" s="40">
        <f t="shared" ref="S34:S65" si="8">IFERROR(M34/L34*100,0)</f>
        <v>0.59905862216516903</v>
      </c>
      <c r="T34" s="40">
        <f t="shared" ref="T34:T65" si="9">N34/J34</f>
        <v>3.1399680681213411</v>
      </c>
      <c r="U34" s="35" t="s">
        <v>65</v>
      </c>
    </row>
    <row r="35" spans="1:21" x14ac:dyDescent="0.25">
      <c r="A35" s="41" t="s">
        <v>153</v>
      </c>
      <c r="B35" s="42" t="s">
        <v>154</v>
      </c>
      <c r="C35" s="42" t="s">
        <v>75</v>
      </c>
      <c r="D35" s="42" t="s">
        <v>60</v>
      </c>
      <c r="E35" s="41" t="s">
        <v>118</v>
      </c>
      <c r="F35" s="41" t="s">
        <v>155</v>
      </c>
      <c r="G35" s="41" t="s">
        <v>156</v>
      </c>
      <c r="H35" s="41" t="s">
        <v>157</v>
      </c>
      <c r="I35" s="43">
        <v>81800</v>
      </c>
      <c r="J35" s="43">
        <v>77400</v>
      </c>
      <c r="K35" s="44">
        <v>403158</v>
      </c>
      <c r="L35" s="44">
        <v>4434</v>
      </c>
      <c r="M35" s="44">
        <v>57</v>
      </c>
      <c r="N35" s="43">
        <v>273200</v>
      </c>
      <c r="O35" s="44">
        <v>82</v>
      </c>
      <c r="P35" s="45">
        <f t="shared" si="5"/>
        <v>17.456021650879567</v>
      </c>
      <c r="Q35" s="45">
        <f t="shared" si="6"/>
        <v>1357.8947368421052</v>
      </c>
      <c r="R35" s="46">
        <f t="shared" si="7"/>
        <v>1.0998169452175077</v>
      </c>
      <c r="S35" s="46">
        <f t="shared" si="8"/>
        <v>1.2855209742895806</v>
      </c>
      <c r="T35" s="46">
        <f t="shared" si="9"/>
        <v>3.5297157622739017</v>
      </c>
      <c r="U35" s="41" t="s">
        <v>65</v>
      </c>
    </row>
    <row r="36" spans="1:21" x14ac:dyDescent="0.25">
      <c r="A36" s="35" t="s">
        <v>158</v>
      </c>
      <c r="B36" s="36" t="s">
        <v>159</v>
      </c>
      <c r="C36" s="36" t="s">
        <v>98</v>
      </c>
      <c r="D36" s="36" t="s">
        <v>69</v>
      </c>
      <c r="E36" s="35" t="s">
        <v>118</v>
      </c>
      <c r="F36" s="35" t="s">
        <v>155</v>
      </c>
      <c r="G36" s="35" t="s">
        <v>156</v>
      </c>
      <c r="H36" s="35" t="s">
        <v>157</v>
      </c>
      <c r="I36" s="37">
        <v>412300</v>
      </c>
      <c r="J36" s="37">
        <v>408600</v>
      </c>
      <c r="K36" s="38">
        <v>296034</v>
      </c>
      <c r="L36" s="38">
        <v>3049</v>
      </c>
      <c r="M36" s="38">
        <v>35</v>
      </c>
      <c r="N36" s="37">
        <v>1291200</v>
      </c>
      <c r="O36" s="38">
        <v>95</v>
      </c>
      <c r="P36" s="39">
        <f t="shared" si="5"/>
        <v>134.0111511971138</v>
      </c>
      <c r="Q36" s="39">
        <f t="shared" si="6"/>
        <v>11674.285714285714</v>
      </c>
      <c r="R36" s="40">
        <f t="shared" si="7"/>
        <v>1.0299492625847031</v>
      </c>
      <c r="S36" s="40">
        <f t="shared" si="8"/>
        <v>1.1479173499508035</v>
      </c>
      <c r="T36" s="40">
        <f t="shared" si="9"/>
        <v>3.1600587371512483</v>
      </c>
      <c r="U36" s="35" t="s">
        <v>65</v>
      </c>
    </row>
    <row r="37" spans="1:21" x14ac:dyDescent="0.25">
      <c r="A37" s="41" t="s">
        <v>160</v>
      </c>
      <c r="B37" s="42" t="s">
        <v>161</v>
      </c>
      <c r="C37" s="42" t="s">
        <v>82</v>
      </c>
      <c r="D37" s="42" t="s">
        <v>50</v>
      </c>
      <c r="E37" s="41" t="s">
        <v>118</v>
      </c>
      <c r="F37" s="41" t="s">
        <v>155</v>
      </c>
      <c r="G37" s="41" t="s">
        <v>156</v>
      </c>
      <c r="H37" s="41" t="s">
        <v>157</v>
      </c>
      <c r="I37" s="43">
        <v>118200</v>
      </c>
      <c r="J37" s="43">
        <v>110100</v>
      </c>
      <c r="K37" s="44">
        <v>384190</v>
      </c>
      <c r="L37" s="44">
        <v>12140</v>
      </c>
      <c r="M37" s="44">
        <v>475</v>
      </c>
      <c r="N37" s="43">
        <v>321500</v>
      </c>
      <c r="O37" s="44">
        <v>1365</v>
      </c>
      <c r="P37" s="45">
        <f t="shared" si="5"/>
        <v>9.069192751235585</v>
      </c>
      <c r="Q37" s="45">
        <f t="shared" si="6"/>
        <v>231.78947368421052</v>
      </c>
      <c r="R37" s="46">
        <f t="shared" si="7"/>
        <v>3.1598948436971286</v>
      </c>
      <c r="S37" s="46">
        <f t="shared" si="8"/>
        <v>3.9126853377265238</v>
      </c>
      <c r="T37" s="46">
        <f t="shared" si="9"/>
        <v>2.9200726612170755</v>
      </c>
      <c r="U37" s="41" t="s">
        <v>65</v>
      </c>
    </row>
    <row r="38" spans="1:21" x14ac:dyDescent="0.25">
      <c r="A38" s="35" t="s">
        <v>162</v>
      </c>
      <c r="B38" s="36" t="s">
        <v>163</v>
      </c>
      <c r="C38" s="36" t="s">
        <v>59</v>
      </c>
      <c r="D38" s="36" t="s">
        <v>76</v>
      </c>
      <c r="E38" s="35" t="s">
        <v>118</v>
      </c>
      <c r="F38" s="35" t="s">
        <v>155</v>
      </c>
      <c r="G38" s="35" t="s">
        <v>156</v>
      </c>
      <c r="H38" s="35" t="s">
        <v>157</v>
      </c>
      <c r="I38" s="37">
        <v>23200</v>
      </c>
      <c r="J38" s="37">
        <v>18300</v>
      </c>
      <c r="K38" s="38">
        <v>477532</v>
      </c>
      <c r="L38" s="38">
        <v>140251</v>
      </c>
      <c r="M38" s="38">
        <v>6914</v>
      </c>
      <c r="N38" s="37">
        <v>127600</v>
      </c>
      <c r="O38" s="38">
        <v>15331</v>
      </c>
      <c r="P38" s="39">
        <f t="shared" si="5"/>
        <v>0.13048035308126146</v>
      </c>
      <c r="Q38" s="39">
        <f t="shared" si="6"/>
        <v>2.6468035869250794</v>
      </c>
      <c r="R38" s="40">
        <f t="shared" si="7"/>
        <v>29.36996892354858</v>
      </c>
      <c r="S38" s="40">
        <f t="shared" si="8"/>
        <v>4.9297331213324682</v>
      </c>
      <c r="T38" s="40">
        <f t="shared" si="9"/>
        <v>6.972677595628415</v>
      </c>
      <c r="U38" s="35" t="s">
        <v>65</v>
      </c>
    </row>
    <row r="39" spans="1:21" x14ac:dyDescent="0.25">
      <c r="A39" s="41" t="s">
        <v>164</v>
      </c>
      <c r="B39" s="42" t="s">
        <v>165</v>
      </c>
      <c r="C39" s="42" t="s">
        <v>91</v>
      </c>
      <c r="D39" s="42" t="s">
        <v>60</v>
      </c>
      <c r="E39" s="41" t="s">
        <v>118</v>
      </c>
      <c r="F39" s="41" t="s">
        <v>155</v>
      </c>
      <c r="G39" s="41" t="s">
        <v>156</v>
      </c>
      <c r="H39" s="41" t="s">
        <v>157</v>
      </c>
      <c r="I39" s="43">
        <v>199400</v>
      </c>
      <c r="J39" s="43">
        <v>179800</v>
      </c>
      <c r="K39" s="44">
        <v>485201</v>
      </c>
      <c r="L39" s="44">
        <v>29403</v>
      </c>
      <c r="M39" s="44">
        <v>1358</v>
      </c>
      <c r="N39" s="43">
        <v>541200</v>
      </c>
      <c r="O39" s="44">
        <v>2020</v>
      </c>
      <c r="P39" s="45">
        <f t="shared" si="5"/>
        <v>6.1150222766384381</v>
      </c>
      <c r="Q39" s="45">
        <f t="shared" si="6"/>
        <v>132.40058910162003</v>
      </c>
      <c r="R39" s="46">
        <f t="shared" si="7"/>
        <v>6.0599627783124932</v>
      </c>
      <c r="S39" s="46">
        <f t="shared" si="8"/>
        <v>4.6185763357480525</v>
      </c>
      <c r="T39" s="46">
        <f t="shared" si="9"/>
        <v>3.0100111234705227</v>
      </c>
      <c r="U39" s="41" t="s">
        <v>65</v>
      </c>
    </row>
    <row r="40" spans="1:21" x14ac:dyDescent="0.25">
      <c r="A40" s="35" t="s">
        <v>166</v>
      </c>
      <c r="B40" s="36" t="s">
        <v>167</v>
      </c>
      <c r="C40" s="36" t="s">
        <v>68</v>
      </c>
      <c r="D40" s="36" t="s">
        <v>83</v>
      </c>
      <c r="E40" s="35" t="s">
        <v>118</v>
      </c>
      <c r="F40" s="35" t="s">
        <v>155</v>
      </c>
      <c r="G40" s="35" t="s">
        <v>156</v>
      </c>
      <c r="H40" s="35" t="s">
        <v>157</v>
      </c>
      <c r="I40" s="37">
        <v>76500</v>
      </c>
      <c r="J40" s="37">
        <v>65800</v>
      </c>
      <c r="K40" s="38">
        <v>481561</v>
      </c>
      <c r="L40" s="38">
        <v>22585</v>
      </c>
      <c r="M40" s="38">
        <v>1052</v>
      </c>
      <c r="N40" s="37">
        <v>267800</v>
      </c>
      <c r="O40" s="38">
        <v>3002</v>
      </c>
      <c r="P40" s="39">
        <f t="shared" si="5"/>
        <v>2.9134381226477752</v>
      </c>
      <c r="Q40" s="39">
        <f t="shared" si="6"/>
        <v>62.547528517110266</v>
      </c>
      <c r="R40" s="40">
        <f t="shared" si="7"/>
        <v>4.6899562049252328</v>
      </c>
      <c r="S40" s="40">
        <f t="shared" si="8"/>
        <v>4.6579588222271422</v>
      </c>
      <c r="T40" s="40">
        <f t="shared" si="9"/>
        <v>4.0699088145896658</v>
      </c>
      <c r="U40" s="35" t="s">
        <v>65</v>
      </c>
    </row>
    <row r="41" spans="1:21" x14ac:dyDescent="0.25">
      <c r="A41" s="41" t="s">
        <v>168</v>
      </c>
      <c r="B41" s="42" t="s">
        <v>169</v>
      </c>
      <c r="C41" s="42" t="s">
        <v>72</v>
      </c>
      <c r="D41" s="42" t="s">
        <v>69</v>
      </c>
      <c r="E41" s="41" t="s">
        <v>118</v>
      </c>
      <c r="F41" s="41" t="s">
        <v>155</v>
      </c>
      <c r="G41" s="41" t="s">
        <v>156</v>
      </c>
      <c r="H41" s="41" t="s">
        <v>157</v>
      </c>
      <c r="I41" s="43">
        <v>19500</v>
      </c>
      <c r="J41" s="43">
        <v>18100</v>
      </c>
      <c r="K41" s="44">
        <v>459645</v>
      </c>
      <c r="L41" s="44">
        <v>98042</v>
      </c>
      <c r="M41" s="44">
        <v>14657</v>
      </c>
      <c r="N41" s="43">
        <v>197700</v>
      </c>
      <c r="O41" s="44">
        <v>19545</v>
      </c>
      <c r="P41" s="45">
        <f t="shared" si="5"/>
        <v>0.18461475694090287</v>
      </c>
      <c r="Q41" s="45">
        <f t="shared" si="6"/>
        <v>1.2349048236337585</v>
      </c>
      <c r="R41" s="46">
        <f t="shared" si="7"/>
        <v>21.329939409761881</v>
      </c>
      <c r="S41" s="46">
        <f t="shared" si="8"/>
        <v>14.949715428081841</v>
      </c>
      <c r="T41" s="46">
        <f t="shared" si="9"/>
        <v>10.922651933701658</v>
      </c>
      <c r="U41" s="41" t="s">
        <v>65</v>
      </c>
    </row>
    <row r="42" spans="1:21" x14ac:dyDescent="0.25">
      <c r="A42" s="35" t="s">
        <v>170</v>
      </c>
      <c r="B42" s="36" t="s">
        <v>171</v>
      </c>
      <c r="C42" s="36" t="s">
        <v>91</v>
      </c>
      <c r="D42" s="36" t="s">
        <v>83</v>
      </c>
      <c r="E42" s="35" t="s">
        <v>172</v>
      </c>
      <c r="F42" s="35" t="s">
        <v>173</v>
      </c>
      <c r="G42" s="35" t="s">
        <v>174</v>
      </c>
      <c r="H42" s="35" t="s">
        <v>175</v>
      </c>
      <c r="I42" s="37">
        <v>129400</v>
      </c>
      <c r="J42" s="37">
        <v>101200</v>
      </c>
      <c r="K42" s="38">
        <v>509646</v>
      </c>
      <c r="L42" s="38">
        <v>40618</v>
      </c>
      <c r="M42" s="38">
        <v>1811</v>
      </c>
      <c r="N42" s="37">
        <v>529300</v>
      </c>
      <c r="O42" s="38">
        <v>4661</v>
      </c>
      <c r="P42" s="39">
        <f t="shared" si="5"/>
        <v>2.491506228765572</v>
      </c>
      <c r="Q42" s="39">
        <f t="shared" si="6"/>
        <v>55.880728879072336</v>
      </c>
      <c r="R42" s="40">
        <f t="shared" si="7"/>
        <v>7.9698457360599315</v>
      </c>
      <c r="S42" s="40">
        <f t="shared" si="8"/>
        <v>4.4586144074055838</v>
      </c>
      <c r="T42" s="40">
        <f t="shared" si="9"/>
        <v>5.2302371541501973</v>
      </c>
      <c r="U42" s="35" t="s">
        <v>65</v>
      </c>
    </row>
    <row r="43" spans="1:21" x14ac:dyDescent="0.25">
      <c r="A43" s="41" t="s">
        <v>176</v>
      </c>
      <c r="B43" s="42" t="s">
        <v>177</v>
      </c>
      <c r="C43" s="42" t="s">
        <v>75</v>
      </c>
      <c r="D43" s="42" t="s">
        <v>76</v>
      </c>
      <c r="E43" s="41" t="s">
        <v>172</v>
      </c>
      <c r="F43" s="41" t="s">
        <v>173</v>
      </c>
      <c r="G43" s="41" t="s">
        <v>174</v>
      </c>
      <c r="H43" s="41" t="s">
        <v>175</v>
      </c>
      <c r="I43" s="43">
        <v>271400</v>
      </c>
      <c r="J43" s="43">
        <v>255300</v>
      </c>
      <c r="K43" s="44">
        <v>279103</v>
      </c>
      <c r="L43" s="44">
        <v>2177</v>
      </c>
      <c r="M43" s="44">
        <v>38</v>
      </c>
      <c r="N43" s="43">
        <v>428900</v>
      </c>
      <c r="O43" s="44">
        <v>69</v>
      </c>
      <c r="P43" s="45">
        <f t="shared" si="5"/>
        <v>117.2714745062012</v>
      </c>
      <c r="Q43" s="45">
        <f t="shared" si="6"/>
        <v>6718.4210526315792</v>
      </c>
      <c r="R43" s="46">
        <f t="shared" si="7"/>
        <v>0.77999878181173266</v>
      </c>
      <c r="S43" s="46">
        <f t="shared" si="8"/>
        <v>1.7455213596692696</v>
      </c>
      <c r="T43" s="46">
        <f t="shared" si="9"/>
        <v>1.6799843321582453</v>
      </c>
      <c r="U43" s="41" t="s">
        <v>65</v>
      </c>
    </row>
    <row r="44" spans="1:21" x14ac:dyDescent="0.25">
      <c r="A44" s="35" t="s">
        <v>178</v>
      </c>
      <c r="B44" s="36" t="s">
        <v>179</v>
      </c>
      <c r="C44" s="36" t="s">
        <v>98</v>
      </c>
      <c r="D44" s="36" t="s">
        <v>60</v>
      </c>
      <c r="E44" s="35" t="s">
        <v>172</v>
      </c>
      <c r="F44" s="35" t="s">
        <v>173</v>
      </c>
      <c r="G44" s="35" t="s">
        <v>174</v>
      </c>
      <c r="H44" s="35" t="s">
        <v>175</v>
      </c>
      <c r="I44" s="37">
        <v>214100</v>
      </c>
      <c r="J44" s="37">
        <v>194500</v>
      </c>
      <c r="K44" s="38">
        <v>181844</v>
      </c>
      <c r="L44" s="38">
        <v>2527</v>
      </c>
      <c r="M44" s="38">
        <v>17</v>
      </c>
      <c r="N44" s="37">
        <v>630200</v>
      </c>
      <c r="O44" s="38">
        <v>21</v>
      </c>
      <c r="P44" s="39">
        <f t="shared" si="5"/>
        <v>76.968737633557581</v>
      </c>
      <c r="Q44" s="39">
        <f t="shared" si="6"/>
        <v>11441.176470588236</v>
      </c>
      <c r="R44" s="40">
        <f t="shared" si="7"/>
        <v>1.3896526693209563</v>
      </c>
      <c r="S44" s="40">
        <f t="shared" si="8"/>
        <v>0.67273446774831813</v>
      </c>
      <c r="T44" s="40">
        <f t="shared" si="9"/>
        <v>3.2401028277634962</v>
      </c>
      <c r="U44" s="35" t="s">
        <v>65</v>
      </c>
    </row>
    <row r="45" spans="1:21" x14ac:dyDescent="0.25">
      <c r="A45" s="41" t="s">
        <v>180</v>
      </c>
      <c r="B45" s="42" t="s">
        <v>181</v>
      </c>
      <c r="C45" s="42" t="s">
        <v>72</v>
      </c>
      <c r="D45" s="42" t="s">
        <v>50</v>
      </c>
      <c r="E45" s="41" t="s">
        <v>172</v>
      </c>
      <c r="F45" s="41" t="s">
        <v>173</v>
      </c>
      <c r="G45" s="41" t="s">
        <v>174</v>
      </c>
      <c r="H45" s="41" t="s">
        <v>175</v>
      </c>
      <c r="I45" s="43">
        <v>57400</v>
      </c>
      <c r="J45" s="43">
        <v>47500</v>
      </c>
      <c r="K45" s="44">
        <v>187201</v>
      </c>
      <c r="L45" s="44">
        <v>58387</v>
      </c>
      <c r="M45" s="44">
        <v>7012</v>
      </c>
      <c r="N45" s="43">
        <v>413700</v>
      </c>
      <c r="O45" s="44">
        <v>11356</v>
      </c>
      <c r="P45" s="45">
        <f t="shared" si="5"/>
        <v>0.81353726000650828</v>
      </c>
      <c r="Q45" s="45">
        <f t="shared" si="6"/>
        <v>6.7741015402167717</v>
      </c>
      <c r="R45" s="46">
        <f t="shared" si="7"/>
        <v>31.189470141719326</v>
      </c>
      <c r="S45" s="46">
        <f t="shared" si="8"/>
        <v>12.009522667717128</v>
      </c>
      <c r="T45" s="46">
        <f t="shared" si="9"/>
        <v>8.7094736842105256</v>
      </c>
      <c r="U45" s="41" t="s">
        <v>65</v>
      </c>
    </row>
    <row r="46" spans="1:21" x14ac:dyDescent="0.25">
      <c r="A46" s="35" t="s">
        <v>182</v>
      </c>
      <c r="B46" s="36" t="s">
        <v>183</v>
      </c>
      <c r="C46" s="36" t="s">
        <v>59</v>
      </c>
      <c r="D46" s="36" t="s">
        <v>50</v>
      </c>
      <c r="E46" s="35" t="s">
        <v>172</v>
      </c>
      <c r="F46" s="35" t="s">
        <v>173</v>
      </c>
      <c r="G46" s="35" t="s">
        <v>174</v>
      </c>
      <c r="H46" s="35" t="s">
        <v>175</v>
      </c>
      <c r="I46" s="37">
        <v>5200</v>
      </c>
      <c r="J46" s="37">
        <v>3900</v>
      </c>
      <c r="K46" s="38">
        <v>667074</v>
      </c>
      <c r="L46" s="38">
        <v>222202</v>
      </c>
      <c r="M46" s="38">
        <v>12465</v>
      </c>
      <c r="N46" s="37">
        <v>24300</v>
      </c>
      <c r="O46" s="38">
        <v>18862</v>
      </c>
      <c r="P46" s="39">
        <f t="shared" si="5"/>
        <v>1.7551597195344777E-2</v>
      </c>
      <c r="Q46" s="39">
        <f t="shared" si="6"/>
        <v>0.3128760529482551</v>
      </c>
      <c r="R46" s="40">
        <f t="shared" si="7"/>
        <v>33.309947622002959</v>
      </c>
      <c r="S46" s="40">
        <f t="shared" si="8"/>
        <v>5.6097604882044267</v>
      </c>
      <c r="T46" s="40">
        <f t="shared" si="9"/>
        <v>6.2307692307692308</v>
      </c>
      <c r="U46" s="35" t="s">
        <v>65</v>
      </c>
    </row>
    <row r="47" spans="1:21" x14ac:dyDescent="0.25">
      <c r="A47" s="41" t="s">
        <v>184</v>
      </c>
      <c r="B47" s="42" t="s">
        <v>185</v>
      </c>
      <c r="C47" s="42" t="s">
        <v>82</v>
      </c>
      <c r="D47" s="42" t="s">
        <v>83</v>
      </c>
      <c r="E47" s="41" t="s">
        <v>172</v>
      </c>
      <c r="F47" s="41" t="s">
        <v>173</v>
      </c>
      <c r="G47" s="41" t="s">
        <v>174</v>
      </c>
      <c r="H47" s="41" t="s">
        <v>175</v>
      </c>
      <c r="I47" s="43">
        <v>268500</v>
      </c>
      <c r="J47" s="43">
        <v>237200</v>
      </c>
      <c r="K47" s="44">
        <v>417505</v>
      </c>
      <c r="L47" s="44">
        <v>11982</v>
      </c>
      <c r="M47" s="44">
        <v>221</v>
      </c>
      <c r="N47" s="43">
        <v>1060300</v>
      </c>
      <c r="O47" s="44">
        <v>449</v>
      </c>
      <c r="P47" s="45">
        <f t="shared" si="5"/>
        <v>19.796361208479386</v>
      </c>
      <c r="Q47" s="45">
        <f t="shared" si="6"/>
        <v>1073.3031674208146</v>
      </c>
      <c r="R47" s="46">
        <f t="shared" si="7"/>
        <v>2.8699057496317413</v>
      </c>
      <c r="S47" s="46">
        <f t="shared" si="8"/>
        <v>1.8444333166416291</v>
      </c>
      <c r="T47" s="46">
        <f t="shared" si="9"/>
        <v>4.4700674536256324</v>
      </c>
      <c r="U47" s="41" t="s">
        <v>65</v>
      </c>
    </row>
    <row r="48" spans="1:21" x14ac:dyDescent="0.25">
      <c r="A48" s="35" t="s">
        <v>186</v>
      </c>
      <c r="B48" s="36" t="s">
        <v>187</v>
      </c>
      <c r="C48" s="36" t="s">
        <v>68</v>
      </c>
      <c r="D48" s="36" t="s">
        <v>69</v>
      </c>
      <c r="E48" s="35" t="s">
        <v>172</v>
      </c>
      <c r="F48" s="35" t="s">
        <v>173</v>
      </c>
      <c r="G48" s="35" t="s">
        <v>174</v>
      </c>
      <c r="H48" s="35" t="s">
        <v>175</v>
      </c>
      <c r="I48" s="37">
        <v>94200</v>
      </c>
      <c r="J48" s="37">
        <v>92700</v>
      </c>
      <c r="K48" s="38">
        <v>88419</v>
      </c>
      <c r="L48" s="38">
        <v>2210</v>
      </c>
      <c r="M48" s="38">
        <v>95</v>
      </c>
      <c r="N48" s="37">
        <v>742500</v>
      </c>
      <c r="O48" s="38">
        <v>206</v>
      </c>
      <c r="P48" s="39">
        <f t="shared" si="5"/>
        <v>41.945701357466064</v>
      </c>
      <c r="Q48" s="39">
        <f t="shared" si="6"/>
        <v>975.78947368421052</v>
      </c>
      <c r="R48" s="40">
        <f t="shared" si="7"/>
        <v>2.4994627851479887</v>
      </c>
      <c r="S48" s="40">
        <f t="shared" si="8"/>
        <v>4.2986425339366514</v>
      </c>
      <c r="T48" s="40">
        <f t="shared" si="9"/>
        <v>8.0097087378640772</v>
      </c>
      <c r="U48" s="35" t="s">
        <v>65</v>
      </c>
    </row>
    <row r="49" spans="1:21" x14ac:dyDescent="0.25">
      <c r="A49" s="41" t="s">
        <v>188</v>
      </c>
      <c r="B49" s="42" t="s">
        <v>189</v>
      </c>
      <c r="C49" s="42" t="s">
        <v>82</v>
      </c>
      <c r="D49" s="42" t="s">
        <v>69</v>
      </c>
      <c r="E49" s="41" t="s">
        <v>172</v>
      </c>
      <c r="F49" s="41" t="s">
        <v>190</v>
      </c>
      <c r="G49" s="41" t="s">
        <v>191</v>
      </c>
      <c r="H49" s="41" t="s">
        <v>192</v>
      </c>
      <c r="I49" s="43">
        <v>166300</v>
      </c>
      <c r="J49" s="43">
        <v>128200</v>
      </c>
      <c r="K49" s="44">
        <v>151643</v>
      </c>
      <c r="L49" s="44">
        <v>4215</v>
      </c>
      <c r="M49" s="44">
        <v>129</v>
      </c>
      <c r="N49" s="43">
        <v>491000</v>
      </c>
      <c r="O49" s="44">
        <v>211</v>
      </c>
      <c r="P49" s="45">
        <f t="shared" si="5"/>
        <v>30.415183867141163</v>
      </c>
      <c r="Q49" s="45">
        <f t="shared" si="6"/>
        <v>993.79844961240315</v>
      </c>
      <c r="R49" s="46">
        <f t="shared" si="7"/>
        <v>2.7795546118185475</v>
      </c>
      <c r="S49" s="46">
        <f t="shared" si="8"/>
        <v>3.0604982206405693</v>
      </c>
      <c r="T49" s="46">
        <f t="shared" si="9"/>
        <v>3.8299531981279249</v>
      </c>
      <c r="U49" s="41" t="s">
        <v>65</v>
      </c>
    </row>
    <row r="50" spans="1:21" x14ac:dyDescent="0.25">
      <c r="A50" s="35" t="s">
        <v>193</v>
      </c>
      <c r="B50" s="36" t="s">
        <v>194</v>
      </c>
      <c r="C50" s="36" t="s">
        <v>68</v>
      </c>
      <c r="D50" s="36" t="s">
        <v>76</v>
      </c>
      <c r="E50" s="35" t="s">
        <v>172</v>
      </c>
      <c r="F50" s="35" t="s">
        <v>190</v>
      </c>
      <c r="G50" s="35" t="s">
        <v>191</v>
      </c>
      <c r="H50" s="35" t="s">
        <v>192</v>
      </c>
      <c r="I50" s="37">
        <v>79100</v>
      </c>
      <c r="J50" s="37">
        <v>63000</v>
      </c>
      <c r="K50" s="38">
        <v>88785</v>
      </c>
      <c r="L50" s="38">
        <v>3879</v>
      </c>
      <c r="M50" s="38">
        <v>181</v>
      </c>
      <c r="N50" s="37">
        <v>330800</v>
      </c>
      <c r="O50" s="38">
        <v>446</v>
      </c>
      <c r="P50" s="39">
        <f t="shared" si="5"/>
        <v>16.241299303944317</v>
      </c>
      <c r="Q50" s="39">
        <f t="shared" si="6"/>
        <v>348.06629834254142</v>
      </c>
      <c r="R50" s="40">
        <f t="shared" si="7"/>
        <v>4.3689812468322353</v>
      </c>
      <c r="S50" s="40">
        <f t="shared" si="8"/>
        <v>4.6661510698633668</v>
      </c>
      <c r="T50" s="40">
        <f t="shared" si="9"/>
        <v>5.2507936507936508</v>
      </c>
      <c r="U50" s="35" t="s">
        <v>65</v>
      </c>
    </row>
    <row r="51" spans="1:21" x14ac:dyDescent="0.25">
      <c r="A51" s="41" t="s">
        <v>195</v>
      </c>
      <c r="B51" s="42" t="s">
        <v>196</v>
      </c>
      <c r="C51" s="42" t="s">
        <v>59</v>
      </c>
      <c r="D51" s="42" t="s">
        <v>60</v>
      </c>
      <c r="E51" s="41" t="s">
        <v>172</v>
      </c>
      <c r="F51" s="41" t="s">
        <v>190</v>
      </c>
      <c r="G51" s="41" t="s">
        <v>191</v>
      </c>
      <c r="H51" s="41" t="s">
        <v>192</v>
      </c>
      <c r="I51" s="43">
        <v>25600</v>
      </c>
      <c r="J51" s="43">
        <v>19800</v>
      </c>
      <c r="K51" s="44">
        <v>222806</v>
      </c>
      <c r="L51" s="44">
        <v>88387</v>
      </c>
      <c r="M51" s="44">
        <v>5656</v>
      </c>
      <c r="N51" s="43">
        <v>151100</v>
      </c>
      <c r="O51" s="44">
        <v>8854</v>
      </c>
      <c r="P51" s="45">
        <f t="shared" si="5"/>
        <v>0.22401484381187278</v>
      </c>
      <c r="Q51" s="45">
        <f t="shared" si="6"/>
        <v>3.5007072135785009</v>
      </c>
      <c r="R51" s="46">
        <f t="shared" si="7"/>
        <v>39.669937075303181</v>
      </c>
      <c r="S51" s="46">
        <f t="shared" si="8"/>
        <v>6.3991310939391548</v>
      </c>
      <c r="T51" s="46">
        <f t="shared" si="9"/>
        <v>7.6313131313131315</v>
      </c>
      <c r="U51" s="41" t="s">
        <v>65</v>
      </c>
    </row>
    <row r="52" spans="1:21" x14ac:dyDescent="0.25">
      <c r="A52" s="35" t="s">
        <v>197</v>
      </c>
      <c r="B52" s="36" t="s">
        <v>198</v>
      </c>
      <c r="C52" s="36" t="s">
        <v>72</v>
      </c>
      <c r="D52" s="36" t="s">
        <v>76</v>
      </c>
      <c r="E52" s="35" t="s">
        <v>172</v>
      </c>
      <c r="F52" s="35" t="s">
        <v>190</v>
      </c>
      <c r="G52" s="35" t="s">
        <v>191</v>
      </c>
      <c r="H52" s="35" t="s">
        <v>192</v>
      </c>
      <c r="I52" s="37">
        <v>26000</v>
      </c>
      <c r="J52" s="37">
        <v>24100</v>
      </c>
      <c r="K52" s="38">
        <v>252739</v>
      </c>
      <c r="L52" s="38">
        <v>67885</v>
      </c>
      <c r="M52" s="38">
        <v>8214</v>
      </c>
      <c r="N52" s="37">
        <v>266300</v>
      </c>
      <c r="O52" s="38">
        <v>22042</v>
      </c>
      <c r="P52" s="39">
        <f t="shared" si="5"/>
        <v>0.35501215290564925</v>
      </c>
      <c r="Q52" s="39">
        <f t="shared" si="6"/>
        <v>2.9340150961772582</v>
      </c>
      <c r="R52" s="40">
        <f t="shared" si="7"/>
        <v>26.859724854494161</v>
      </c>
      <c r="S52" s="40">
        <f t="shared" si="8"/>
        <v>12.099874788244826</v>
      </c>
      <c r="T52" s="40">
        <f t="shared" si="9"/>
        <v>11.049792531120332</v>
      </c>
      <c r="U52" s="35" t="s">
        <v>65</v>
      </c>
    </row>
    <row r="53" spans="1:21" x14ac:dyDescent="0.25">
      <c r="A53" s="41" t="s">
        <v>199</v>
      </c>
      <c r="B53" s="42" t="s">
        <v>200</v>
      </c>
      <c r="C53" s="42" t="s">
        <v>98</v>
      </c>
      <c r="D53" s="42" t="s">
        <v>83</v>
      </c>
      <c r="E53" s="41" t="s">
        <v>172</v>
      </c>
      <c r="F53" s="41" t="s">
        <v>190</v>
      </c>
      <c r="G53" s="41" t="s">
        <v>191</v>
      </c>
      <c r="H53" s="41" t="s">
        <v>192</v>
      </c>
      <c r="I53" s="43">
        <v>326100</v>
      </c>
      <c r="J53" s="43">
        <v>291800</v>
      </c>
      <c r="K53" s="44">
        <v>473758</v>
      </c>
      <c r="L53" s="44">
        <v>5590</v>
      </c>
      <c r="M53" s="44">
        <v>48</v>
      </c>
      <c r="N53" s="43">
        <v>761600</v>
      </c>
      <c r="O53" s="44">
        <v>88</v>
      </c>
      <c r="P53" s="45">
        <f t="shared" si="5"/>
        <v>52.200357781753134</v>
      </c>
      <c r="Q53" s="45">
        <f t="shared" si="6"/>
        <v>6079.166666666667</v>
      </c>
      <c r="R53" s="46">
        <f t="shared" si="7"/>
        <v>1.1799273046576524</v>
      </c>
      <c r="S53" s="46">
        <f t="shared" si="8"/>
        <v>0.85867620751341678</v>
      </c>
      <c r="T53" s="46">
        <f t="shared" si="9"/>
        <v>2.6100068540095958</v>
      </c>
      <c r="U53" s="41" t="s">
        <v>65</v>
      </c>
    </row>
    <row r="54" spans="1:21" x14ac:dyDescent="0.25">
      <c r="A54" s="35" t="s">
        <v>201</v>
      </c>
      <c r="B54" s="36" t="s">
        <v>202</v>
      </c>
      <c r="C54" s="36" t="s">
        <v>79</v>
      </c>
      <c r="D54" s="36" t="s">
        <v>50</v>
      </c>
      <c r="E54" s="35" t="s">
        <v>172</v>
      </c>
      <c r="F54" s="35" t="s">
        <v>190</v>
      </c>
      <c r="G54" s="35" t="s">
        <v>191</v>
      </c>
      <c r="H54" s="35" t="s">
        <v>192</v>
      </c>
      <c r="I54" s="37">
        <v>74000</v>
      </c>
      <c r="J54" s="37">
        <v>66200</v>
      </c>
      <c r="K54" s="38">
        <v>681367</v>
      </c>
      <c r="L54" s="38">
        <v>8448</v>
      </c>
      <c r="M54" s="38">
        <v>197</v>
      </c>
      <c r="N54" s="37">
        <v>184000</v>
      </c>
      <c r="O54" s="38">
        <v>549</v>
      </c>
      <c r="P54" s="39">
        <f t="shared" si="5"/>
        <v>7.8361742424242422</v>
      </c>
      <c r="Q54" s="39">
        <f t="shared" si="6"/>
        <v>336.04060913705581</v>
      </c>
      <c r="R54" s="40">
        <f t="shared" si="7"/>
        <v>1.2398604569930742</v>
      </c>
      <c r="S54" s="40">
        <f t="shared" si="8"/>
        <v>2.3319128787878789</v>
      </c>
      <c r="T54" s="40">
        <f t="shared" si="9"/>
        <v>2.7794561933534743</v>
      </c>
      <c r="U54" s="35" t="s">
        <v>65</v>
      </c>
    </row>
    <row r="55" spans="1:21" x14ac:dyDescent="0.25">
      <c r="A55" s="41" t="s">
        <v>203</v>
      </c>
      <c r="B55" s="42" t="s">
        <v>204</v>
      </c>
      <c r="C55" s="42" t="s">
        <v>75</v>
      </c>
      <c r="D55" s="42" t="s">
        <v>83</v>
      </c>
      <c r="E55" s="41" t="s">
        <v>172</v>
      </c>
      <c r="F55" s="41" t="s">
        <v>190</v>
      </c>
      <c r="G55" s="41" t="s">
        <v>191</v>
      </c>
      <c r="H55" s="41" t="s">
        <v>192</v>
      </c>
      <c r="I55" s="43">
        <v>156800</v>
      </c>
      <c r="J55" s="43">
        <v>152600</v>
      </c>
      <c r="K55" s="44">
        <v>424253</v>
      </c>
      <c r="L55" s="44">
        <v>7721</v>
      </c>
      <c r="M55" s="44">
        <v>135</v>
      </c>
      <c r="N55" s="43">
        <v>370800</v>
      </c>
      <c r="O55" s="44">
        <v>321</v>
      </c>
      <c r="P55" s="45">
        <f t="shared" si="5"/>
        <v>19.764279238440615</v>
      </c>
      <c r="Q55" s="45">
        <f t="shared" si="6"/>
        <v>1130.3703703703704</v>
      </c>
      <c r="R55" s="46">
        <f t="shared" si="7"/>
        <v>1.8199046323773787</v>
      </c>
      <c r="S55" s="46">
        <f t="shared" si="8"/>
        <v>1.7484781764020205</v>
      </c>
      <c r="T55" s="46">
        <f t="shared" si="9"/>
        <v>2.4298820445609435</v>
      </c>
      <c r="U55" s="41" t="s">
        <v>65</v>
      </c>
    </row>
    <row r="56" spans="1:21" x14ac:dyDescent="0.25">
      <c r="A56" s="35" t="s">
        <v>205</v>
      </c>
      <c r="B56" s="36" t="s">
        <v>206</v>
      </c>
      <c r="C56" s="36" t="s">
        <v>98</v>
      </c>
      <c r="D56" s="36" t="s">
        <v>60</v>
      </c>
      <c r="E56" s="35" t="s">
        <v>172</v>
      </c>
      <c r="F56" s="35" t="s">
        <v>207</v>
      </c>
      <c r="G56" s="35" t="s">
        <v>208</v>
      </c>
      <c r="H56" s="35" t="s">
        <v>209</v>
      </c>
      <c r="I56" s="37">
        <v>475400</v>
      </c>
      <c r="J56" s="37">
        <v>374500</v>
      </c>
      <c r="K56" s="38">
        <v>675167</v>
      </c>
      <c r="L56" s="38">
        <v>13435</v>
      </c>
      <c r="M56" s="38">
        <v>225</v>
      </c>
      <c r="N56" s="37">
        <v>1464300</v>
      </c>
      <c r="O56" s="38">
        <v>648</v>
      </c>
      <c r="P56" s="39">
        <f t="shared" si="5"/>
        <v>27.874953479717156</v>
      </c>
      <c r="Q56" s="39">
        <f t="shared" si="6"/>
        <v>1664.4444444444443</v>
      </c>
      <c r="R56" s="40">
        <f t="shared" si="7"/>
        <v>1.9898780597985388</v>
      </c>
      <c r="S56" s="40">
        <f t="shared" si="8"/>
        <v>1.6747301823595087</v>
      </c>
      <c r="T56" s="40">
        <f t="shared" si="9"/>
        <v>3.9100133511348463</v>
      </c>
      <c r="U56" s="35" t="s">
        <v>65</v>
      </c>
    </row>
    <row r="57" spans="1:21" x14ac:dyDescent="0.25">
      <c r="A57" s="41" t="s">
        <v>210</v>
      </c>
      <c r="B57" s="42" t="s">
        <v>211</v>
      </c>
      <c r="C57" s="42" t="s">
        <v>79</v>
      </c>
      <c r="D57" s="42" t="s">
        <v>83</v>
      </c>
      <c r="E57" s="41" t="s">
        <v>172</v>
      </c>
      <c r="F57" s="41" t="s">
        <v>207</v>
      </c>
      <c r="G57" s="41" t="s">
        <v>208</v>
      </c>
      <c r="H57" s="41" t="s">
        <v>209</v>
      </c>
      <c r="I57" s="43">
        <v>130200</v>
      </c>
      <c r="J57" s="43">
        <v>101700</v>
      </c>
      <c r="K57" s="44">
        <v>429481</v>
      </c>
      <c r="L57" s="44">
        <v>5926</v>
      </c>
      <c r="M57" s="44">
        <v>91</v>
      </c>
      <c r="N57" s="43">
        <v>222700</v>
      </c>
      <c r="O57" s="44">
        <v>249</v>
      </c>
      <c r="P57" s="45">
        <f t="shared" si="5"/>
        <v>17.161660479244009</v>
      </c>
      <c r="Q57" s="45">
        <f t="shared" si="6"/>
        <v>1117.5824175824175</v>
      </c>
      <c r="R57" s="46">
        <f t="shared" si="7"/>
        <v>1.3798049273425368</v>
      </c>
      <c r="S57" s="46">
        <f t="shared" si="8"/>
        <v>1.5356058049274384</v>
      </c>
      <c r="T57" s="46">
        <f t="shared" si="9"/>
        <v>2.1897738446411013</v>
      </c>
      <c r="U57" s="41" t="s">
        <v>65</v>
      </c>
    </row>
    <row r="58" spans="1:21" x14ac:dyDescent="0.25">
      <c r="A58" s="35" t="s">
        <v>212</v>
      </c>
      <c r="B58" s="36" t="s">
        <v>213</v>
      </c>
      <c r="C58" s="36" t="s">
        <v>68</v>
      </c>
      <c r="D58" s="36" t="s">
        <v>50</v>
      </c>
      <c r="E58" s="35" t="s">
        <v>172</v>
      </c>
      <c r="F58" s="35" t="s">
        <v>207</v>
      </c>
      <c r="G58" s="35" t="s">
        <v>208</v>
      </c>
      <c r="H58" s="35" t="s">
        <v>209</v>
      </c>
      <c r="I58" s="37">
        <v>79200</v>
      </c>
      <c r="J58" s="37">
        <v>69700</v>
      </c>
      <c r="K58" s="38">
        <v>790243</v>
      </c>
      <c r="L58" s="38">
        <v>44727</v>
      </c>
      <c r="M58" s="38">
        <v>1851</v>
      </c>
      <c r="N58" s="37">
        <v>501100</v>
      </c>
      <c r="O58" s="38">
        <v>5412</v>
      </c>
      <c r="P58" s="39">
        <f t="shared" si="5"/>
        <v>1.5583428354237931</v>
      </c>
      <c r="Q58" s="39">
        <f t="shared" si="6"/>
        <v>37.655321447866015</v>
      </c>
      <c r="R58" s="40">
        <f t="shared" si="7"/>
        <v>5.6599046116194636</v>
      </c>
      <c r="S58" s="40">
        <f t="shared" si="8"/>
        <v>4.1384398685357837</v>
      </c>
      <c r="T58" s="40">
        <f t="shared" si="9"/>
        <v>7.1893830703012913</v>
      </c>
      <c r="U58" s="35" t="s">
        <v>65</v>
      </c>
    </row>
    <row r="59" spans="1:21" x14ac:dyDescent="0.25">
      <c r="A59" s="41" t="s">
        <v>214</v>
      </c>
      <c r="B59" s="42" t="s">
        <v>215</v>
      </c>
      <c r="C59" s="42" t="s">
        <v>59</v>
      </c>
      <c r="D59" s="42" t="s">
        <v>76</v>
      </c>
      <c r="E59" s="41" t="s">
        <v>172</v>
      </c>
      <c r="F59" s="41" t="s">
        <v>207</v>
      </c>
      <c r="G59" s="41" t="s">
        <v>208</v>
      </c>
      <c r="H59" s="41" t="s">
        <v>209</v>
      </c>
      <c r="I59" s="43">
        <v>15100</v>
      </c>
      <c r="J59" s="43">
        <v>14100</v>
      </c>
      <c r="K59" s="44">
        <v>197050</v>
      </c>
      <c r="L59" s="44">
        <v>76081</v>
      </c>
      <c r="M59" s="44">
        <v>3629</v>
      </c>
      <c r="N59" s="43">
        <v>90800</v>
      </c>
      <c r="O59" s="44">
        <v>5747</v>
      </c>
      <c r="P59" s="45">
        <f t="shared" si="5"/>
        <v>0.18532879431132609</v>
      </c>
      <c r="Q59" s="45">
        <f t="shared" si="6"/>
        <v>3.8853678699366219</v>
      </c>
      <c r="R59" s="46">
        <f t="shared" si="7"/>
        <v>38.609997462572956</v>
      </c>
      <c r="S59" s="46">
        <f t="shared" si="8"/>
        <v>4.769916273445407</v>
      </c>
      <c r="T59" s="46">
        <f t="shared" si="9"/>
        <v>6.4397163120567376</v>
      </c>
      <c r="U59" s="41" t="s">
        <v>65</v>
      </c>
    </row>
    <row r="60" spans="1:21" x14ac:dyDescent="0.25">
      <c r="A60" s="35" t="s">
        <v>216</v>
      </c>
      <c r="B60" s="36" t="s">
        <v>217</v>
      </c>
      <c r="C60" s="36" t="s">
        <v>75</v>
      </c>
      <c r="D60" s="36" t="s">
        <v>69</v>
      </c>
      <c r="E60" s="35" t="s">
        <v>172</v>
      </c>
      <c r="F60" s="35" t="s">
        <v>207</v>
      </c>
      <c r="G60" s="35" t="s">
        <v>208</v>
      </c>
      <c r="H60" s="35" t="s">
        <v>209</v>
      </c>
      <c r="I60" s="37">
        <v>290900</v>
      </c>
      <c r="J60" s="37">
        <v>260500</v>
      </c>
      <c r="K60" s="38">
        <v>791601</v>
      </c>
      <c r="L60" s="38">
        <v>8232</v>
      </c>
      <c r="M60" s="38">
        <v>83</v>
      </c>
      <c r="N60" s="37">
        <v>755400</v>
      </c>
      <c r="O60" s="38">
        <v>167</v>
      </c>
      <c r="P60" s="39">
        <f t="shared" si="5"/>
        <v>31.644800777453838</v>
      </c>
      <c r="Q60" s="39">
        <f t="shared" si="6"/>
        <v>3138.5542168674697</v>
      </c>
      <c r="R60" s="40">
        <f t="shared" si="7"/>
        <v>1.0399178373953546</v>
      </c>
      <c r="S60" s="40">
        <f t="shared" si="8"/>
        <v>1.0082604470359573</v>
      </c>
      <c r="T60" s="40">
        <f t="shared" si="9"/>
        <v>2.8998080614203454</v>
      </c>
      <c r="U60" s="35" t="s">
        <v>65</v>
      </c>
    </row>
    <row r="61" spans="1:21" x14ac:dyDescent="0.25">
      <c r="A61" s="41" t="s">
        <v>218</v>
      </c>
      <c r="B61" s="42" t="s">
        <v>219</v>
      </c>
      <c r="C61" s="42" t="s">
        <v>82</v>
      </c>
      <c r="D61" s="42" t="s">
        <v>60</v>
      </c>
      <c r="E61" s="41" t="s">
        <v>172</v>
      </c>
      <c r="F61" s="41" t="s">
        <v>207</v>
      </c>
      <c r="G61" s="41" t="s">
        <v>208</v>
      </c>
      <c r="H61" s="41" t="s">
        <v>209</v>
      </c>
      <c r="I61" s="43">
        <v>264300</v>
      </c>
      <c r="J61" s="43">
        <v>228300</v>
      </c>
      <c r="K61" s="44">
        <v>349539</v>
      </c>
      <c r="L61" s="44">
        <v>8144</v>
      </c>
      <c r="M61" s="44">
        <v>264</v>
      </c>
      <c r="N61" s="43">
        <v>977100</v>
      </c>
      <c r="O61" s="44">
        <v>761</v>
      </c>
      <c r="P61" s="45">
        <f t="shared" si="5"/>
        <v>28.032907662082515</v>
      </c>
      <c r="Q61" s="45">
        <f t="shared" si="6"/>
        <v>864.77272727272725</v>
      </c>
      <c r="R61" s="46">
        <f t="shared" si="7"/>
        <v>2.3299259882302121</v>
      </c>
      <c r="S61" s="46">
        <f t="shared" si="8"/>
        <v>3.2416502946954813</v>
      </c>
      <c r="T61" s="46">
        <f t="shared" si="9"/>
        <v>4.2798948751642572</v>
      </c>
      <c r="U61" s="41" t="s">
        <v>65</v>
      </c>
    </row>
    <row r="62" spans="1:21" x14ac:dyDescent="0.25">
      <c r="A62" s="35" t="s">
        <v>220</v>
      </c>
      <c r="B62" s="36" t="s">
        <v>221</v>
      </c>
      <c r="C62" s="36" t="s">
        <v>91</v>
      </c>
      <c r="D62" s="36" t="s">
        <v>50</v>
      </c>
      <c r="E62" s="35" t="s">
        <v>172</v>
      </c>
      <c r="F62" s="35" t="s">
        <v>207</v>
      </c>
      <c r="G62" s="35" t="s">
        <v>208</v>
      </c>
      <c r="H62" s="35" t="s">
        <v>209</v>
      </c>
      <c r="I62" s="37">
        <v>109700</v>
      </c>
      <c r="J62" s="37">
        <v>83600</v>
      </c>
      <c r="K62" s="38">
        <v>134813</v>
      </c>
      <c r="L62" s="38">
        <v>7859</v>
      </c>
      <c r="M62" s="38">
        <v>319</v>
      </c>
      <c r="N62" s="37">
        <v>407100</v>
      </c>
      <c r="O62" s="38">
        <v>919</v>
      </c>
      <c r="P62" s="39">
        <f t="shared" si="5"/>
        <v>10.63748568520168</v>
      </c>
      <c r="Q62" s="39">
        <f t="shared" si="6"/>
        <v>262.06896551724139</v>
      </c>
      <c r="R62" s="40">
        <f t="shared" si="7"/>
        <v>5.829556496777017</v>
      </c>
      <c r="S62" s="40">
        <f t="shared" si="8"/>
        <v>4.0590405904059041</v>
      </c>
      <c r="T62" s="40">
        <f t="shared" si="9"/>
        <v>4.8696172248803826</v>
      </c>
      <c r="U62" s="35" t="s">
        <v>65</v>
      </c>
    </row>
    <row r="63" spans="1:21" x14ac:dyDescent="0.25">
      <c r="A63" s="41" t="s">
        <v>222</v>
      </c>
      <c r="B63" s="42" t="s">
        <v>223</v>
      </c>
      <c r="C63" s="42" t="s">
        <v>72</v>
      </c>
      <c r="D63" s="42" t="s">
        <v>60</v>
      </c>
      <c r="E63" s="41" t="s">
        <v>172</v>
      </c>
      <c r="F63" s="41" t="s">
        <v>207</v>
      </c>
      <c r="G63" s="41" t="s">
        <v>208</v>
      </c>
      <c r="H63" s="41" t="s">
        <v>209</v>
      </c>
      <c r="I63" s="43">
        <v>15800</v>
      </c>
      <c r="J63" s="43">
        <v>14500</v>
      </c>
      <c r="K63" s="44">
        <v>105688</v>
      </c>
      <c r="L63" s="44">
        <v>18992</v>
      </c>
      <c r="M63" s="44">
        <v>1944</v>
      </c>
      <c r="N63" s="43">
        <v>171800</v>
      </c>
      <c r="O63" s="44">
        <v>2818</v>
      </c>
      <c r="P63" s="45">
        <f t="shared" si="5"/>
        <v>0.76347935973041281</v>
      </c>
      <c r="Q63" s="45">
        <f t="shared" si="6"/>
        <v>7.4588477366255148</v>
      </c>
      <c r="R63" s="46">
        <f t="shared" si="7"/>
        <v>17.969873590189994</v>
      </c>
      <c r="S63" s="46">
        <f t="shared" si="8"/>
        <v>10.235888795282225</v>
      </c>
      <c r="T63" s="46">
        <f t="shared" si="9"/>
        <v>11.848275862068965</v>
      </c>
      <c r="U63" s="41" t="s">
        <v>65</v>
      </c>
    </row>
    <row r="64" spans="1:21" x14ac:dyDescent="0.25">
      <c r="A64" s="35" t="s">
        <v>224</v>
      </c>
      <c r="B64" s="36" t="s">
        <v>225</v>
      </c>
      <c r="C64" s="36" t="s">
        <v>68</v>
      </c>
      <c r="D64" s="36" t="s">
        <v>83</v>
      </c>
      <c r="E64" s="35" t="s">
        <v>226</v>
      </c>
      <c r="F64" s="35" t="s">
        <v>227</v>
      </c>
      <c r="G64" s="35" t="s">
        <v>228</v>
      </c>
      <c r="H64" s="35" t="s">
        <v>229</v>
      </c>
      <c r="I64" s="37">
        <v>69800</v>
      </c>
      <c r="J64" s="37">
        <v>62100</v>
      </c>
      <c r="K64" s="38">
        <v>576937</v>
      </c>
      <c r="L64" s="38">
        <v>15923</v>
      </c>
      <c r="M64" s="38">
        <v>441</v>
      </c>
      <c r="N64" s="37">
        <v>558300</v>
      </c>
      <c r="O64" s="38">
        <v>1063</v>
      </c>
      <c r="P64" s="39">
        <f t="shared" si="5"/>
        <v>3.9000188406707279</v>
      </c>
      <c r="Q64" s="39">
        <f t="shared" si="6"/>
        <v>140.81632653061226</v>
      </c>
      <c r="R64" s="40">
        <f t="shared" si="7"/>
        <v>2.7599200605958711</v>
      </c>
      <c r="S64" s="40">
        <f t="shared" si="8"/>
        <v>2.7695785969980529</v>
      </c>
      <c r="T64" s="40">
        <f t="shared" si="9"/>
        <v>8.9903381642512077</v>
      </c>
      <c r="U64" s="35" t="s">
        <v>65</v>
      </c>
    </row>
    <row r="65" spans="1:21" x14ac:dyDescent="0.25">
      <c r="A65" s="41" t="s">
        <v>230</v>
      </c>
      <c r="B65" s="42" t="s">
        <v>231</v>
      </c>
      <c r="C65" s="42" t="s">
        <v>82</v>
      </c>
      <c r="D65" s="42" t="s">
        <v>69</v>
      </c>
      <c r="E65" s="41" t="s">
        <v>226</v>
      </c>
      <c r="F65" s="41" t="s">
        <v>227</v>
      </c>
      <c r="G65" s="41" t="s">
        <v>228</v>
      </c>
      <c r="H65" s="41" t="s">
        <v>229</v>
      </c>
      <c r="I65" s="43">
        <v>204000</v>
      </c>
      <c r="J65" s="43">
        <v>166700</v>
      </c>
      <c r="K65" s="44">
        <v>89357</v>
      </c>
      <c r="L65" s="44">
        <v>3440</v>
      </c>
      <c r="M65" s="44">
        <v>55</v>
      </c>
      <c r="N65" s="43">
        <v>350100</v>
      </c>
      <c r="O65" s="44">
        <v>132</v>
      </c>
      <c r="P65" s="45">
        <f t="shared" si="5"/>
        <v>48.459302325581397</v>
      </c>
      <c r="Q65" s="45">
        <f t="shared" si="6"/>
        <v>3030.909090909091</v>
      </c>
      <c r="R65" s="46">
        <f t="shared" si="7"/>
        <v>3.849726378459438</v>
      </c>
      <c r="S65" s="46">
        <f t="shared" si="8"/>
        <v>1.5988372093023258</v>
      </c>
      <c r="T65" s="46">
        <f t="shared" si="9"/>
        <v>2.1001799640071988</v>
      </c>
      <c r="U65" s="41" t="s">
        <v>65</v>
      </c>
    </row>
    <row r="66" spans="1:21" x14ac:dyDescent="0.25">
      <c r="A66" s="35" t="s">
        <v>232</v>
      </c>
      <c r="B66" s="36" t="s">
        <v>233</v>
      </c>
      <c r="C66" s="36" t="s">
        <v>75</v>
      </c>
      <c r="D66" s="36" t="s">
        <v>50</v>
      </c>
      <c r="E66" s="35" t="s">
        <v>226</v>
      </c>
      <c r="F66" s="35" t="s">
        <v>227</v>
      </c>
      <c r="G66" s="35" t="s">
        <v>228</v>
      </c>
      <c r="H66" s="35" t="s">
        <v>229</v>
      </c>
      <c r="I66" s="37">
        <v>93700</v>
      </c>
      <c r="J66" s="37">
        <v>86400</v>
      </c>
      <c r="K66" s="38">
        <v>87269</v>
      </c>
      <c r="L66" s="38">
        <v>1518</v>
      </c>
      <c r="M66" s="38">
        <v>26</v>
      </c>
      <c r="N66" s="37">
        <v>337000</v>
      </c>
      <c r="O66" s="38">
        <v>57</v>
      </c>
      <c r="P66" s="39">
        <f t="shared" ref="P66:P81" si="10">J66/L66</f>
        <v>56.916996047430828</v>
      </c>
      <c r="Q66" s="39">
        <f t="shared" ref="Q66:Q81" si="11">IFERROR(J66/M66,0)</f>
        <v>3323.0769230769229</v>
      </c>
      <c r="R66" s="40">
        <f t="shared" ref="R66:R81" si="12">L66/K66*100</f>
        <v>1.7394492889800501</v>
      </c>
      <c r="S66" s="40">
        <f t="shared" ref="S66:S81" si="13">IFERROR(M66/L66*100,0)</f>
        <v>1.7127799736495388</v>
      </c>
      <c r="T66" s="40">
        <f t="shared" ref="T66:T81" si="14">N66/J66</f>
        <v>3.9004629629629628</v>
      </c>
      <c r="U66" s="35" t="s">
        <v>65</v>
      </c>
    </row>
    <row r="67" spans="1:21" x14ac:dyDescent="0.25">
      <c r="A67" s="41" t="s">
        <v>234</v>
      </c>
      <c r="B67" s="42" t="s">
        <v>235</v>
      </c>
      <c r="C67" s="42" t="s">
        <v>79</v>
      </c>
      <c r="D67" s="42" t="s">
        <v>69</v>
      </c>
      <c r="E67" s="41" t="s">
        <v>226</v>
      </c>
      <c r="F67" s="41" t="s">
        <v>227</v>
      </c>
      <c r="G67" s="41" t="s">
        <v>228</v>
      </c>
      <c r="H67" s="41" t="s">
        <v>229</v>
      </c>
      <c r="I67" s="43">
        <v>120800</v>
      </c>
      <c r="J67" s="43">
        <v>117700</v>
      </c>
      <c r="K67" s="44">
        <v>430337</v>
      </c>
      <c r="L67" s="44">
        <v>2452</v>
      </c>
      <c r="M67" s="44">
        <v>68</v>
      </c>
      <c r="N67" s="43">
        <v>404900</v>
      </c>
      <c r="O67" s="44">
        <v>87</v>
      </c>
      <c r="P67" s="45">
        <f t="shared" si="10"/>
        <v>48.001631321370311</v>
      </c>
      <c r="Q67" s="45">
        <f t="shared" si="11"/>
        <v>1730.8823529411766</v>
      </c>
      <c r="R67" s="46">
        <f t="shared" si="12"/>
        <v>0.56978600492172415</v>
      </c>
      <c r="S67" s="46">
        <f t="shared" si="13"/>
        <v>2.7732463295269167</v>
      </c>
      <c r="T67" s="46">
        <f t="shared" si="14"/>
        <v>3.4401019541206459</v>
      </c>
      <c r="U67" s="41" t="s">
        <v>65</v>
      </c>
    </row>
    <row r="68" spans="1:21" x14ac:dyDescent="0.25">
      <c r="A68" s="35" t="s">
        <v>236</v>
      </c>
      <c r="B68" s="36" t="s">
        <v>237</v>
      </c>
      <c r="C68" s="36" t="s">
        <v>59</v>
      </c>
      <c r="D68" s="36" t="s">
        <v>76</v>
      </c>
      <c r="E68" s="35" t="s">
        <v>226</v>
      </c>
      <c r="F68" s="35" t="s">
        <v>227</v>
      </c>
      <c r="G68" s="35" t="s">
        <v>228</v>
      </c>
      <c r="H68" s="35" t="s">
        <v>229</v>
      </c>
      <c r="I68" s="37">
        <v>6000</v>
      </c>
      <c r="J68" s="37">
        <v>4900</v>
      </c>
      <c r="K68" s="38">
        <v>352600</v>
      </c>
      <c r="L68" s="38">
        <v>80216</v>
      </c>
      <c r="M68" s="38">
        <v>4524</v>
      </c>
      <c r="N68" s="37">
        <v>24100</v>
      </c>
      <c r="O68" s="38">
        <v>9108</v>
      </c>
      <c r="P68" s="39">
        <f t="shared" si="10"/>
        <v>6.1085070310162561E-2</v>
      </c>
      <c r="Q68" s="39">
        <f t="shared" si="11"/>
        <v>1.0831122900088417</v>
      </c>
      <c r="R68" s="40">
        <f t="shared" si="12"/>
        <v>22.74985819625638</v>
      </c>
      <c r="S68" s="40">
        <f t="shared" si="13"/>
        <v>5.6397726139423554</v>
      </c>
      <c r="T68" s="40">
        <f t="shared" si="14"/>
        <v>4.9183673469387754</v>
      </c>
      <c r="U68" s="35" t="s">
        <v>65</v>
      </c>
    </row>
    <row r="69" spans="1:21" x14ac:dyDescent="0.25">
      <c r="A69" s="41" t="s">
        <v>238</v>
      </c>
      <c r="B69" s="42" t="s">
        <v>239</v>
      </c>
      <c r="C69" s="42" t="s">
        <v>98</v>
      </c>
      <c r="D69" s="42" t="s">
        <v>76</v>
      </c>
      <c r="E69" s="41" t="s">
        <v>226</v>
      </c>
      <c r="F69" s="41" t="s">
        <v>227</v>
      </c>
      <c r="G69" s="41" t="s">
        <v>228</v>
      </c>
      <c r="H69" s="41" t="s">
        <v>229</v>
      </c>
      <c r="I69" s="43">
        <v>129800</v>
      </c>
      <c r="J69" s="43">
        <v>129800</v>
      </c>
      <c r="K69" s="44">
        <v>268340</v>
      </c>
      <c r="L69" s="44">
        <v>6091</v>
      </c>
      <c r="M69" s="44">
        <v>101</v>
      </c>
      <c r="N69" s="43">
        <v>286900</v>
      </c>
      <c r="O69" s="44">
        <v>244</v>
      </c>
      <c r="P69" s="45">
        <f t="shared" si="10"/>
        <v>21.310129699556722</v>
      </c>
      <c r="Q69" s="45">
        <f t="shared" si="11"/>
        <v>1285.1485148514851</v>
      </c>
      <c r="R69" s="46">
        <f t="shared" si="12"/>
        <v>2.2698814936274876</v>
      </c>
      <c r="S69" s="46">
        <f t="shared" si="13"/>
        <v>1.6581842062058774</v>
      </c>
      <c r="T69" s="46">
        <f t="shared" si="14"/>
        <v>2.2103235747303542</v>
      </c>
      <c r="U69" s="41" t="s">
        <v>65</v>
      </c>
    </row>
    <row r="70" spans="1:21" x14ac:dyDescent="0.25">
      <c r="A70" s="35" t="s">
        <v>240</v>
      </c>
      <c r="B70" s="36" t="s">
        <v>241</v>
      </c>
      <c r="C70" s="36" t="s">
        <v>68</v>
      </c>
      <c r="D70" s="36" t="s">
        <v>50</v>
      </c>
      <c r="E70" s="35" t="s">
        <v>226</v>
      </c>
      <c r="F70" s="35" t="s">
        <v>242</v>
      </c>
      <c r="G70" s="35" t="s">
        <v>243</v>
      </c>
      <c r="H70" s="35" t="s">
        <v>244</v>
      </c>
      <c r="I70" s="37">
        <v>57500</v>
      </c>
      <c r="J70" s="37">
        <v>53000</v>
      </c>
      <c r="K70" s="38">
        <v>194036</v>
      </c>
      <c r="L70" s="38">
        <v>6500</v>
      </c>
      <c r="M70" s="38">
        <v>146</v>
      </c>
      <c r="N70" s="37">
        <v>475400</v>
      </c>
      <c r="O70" s="38">
        <v>341</v>
      </c>
      <c r="P70" s="39">
        <f t="shared" si="10"/>
        <v>8.1538461538461533</v>
      </c>
      <c r="Q70" s="39">
        <f t="shared" si="11"/>
        <v>363.01369863013701</v>
      </c>
      <c r="R70" s="40">
        <f t="shared" si="12"/>
        <v>3.349893834133872</v>
      </c>
      <c r="S70" s="40">
        <f t="shared" si="13"/>
        <v>2.2461538461538462</v>
      </c>
      <c r="T70" s="40">
        <f t="shared" si="14"/>
        <v>8.969811320754717</v>
      </c>
      <c r="U70" s="35" t="s">
        <v>65</v>
      </c>
    </row>
    <row r="71" spans="1:21" x14ac:dyDescent="0.25">
      <c r="A71" s="41" t="s">
        <v>245</v>
      </c>
      <c r="B71" s="42" t="s">
        <v>246</v>
      </c>
      <c r="C71" s="42" t="s">
        <v>79</v>
      </c>
      <c r="D71" s="42" t="s">
        <v>69</v>
      </c>
      <c r="E71" s="41" t="s">
        <v>226</v>
      </c>
      <c r="F71" s="41" t="s">
        <v>242</v>
      </c>
      <c r="G71" s="41" t="s">
        <v>243</v>
      </c>
      <c r="H71" s="41" t="s">
        <v>244</v>
      </c>
      <c r="I71" s="43">
        <v>224600</v>
      </c>
      <c r="J71" s="43">
        <v>170200</v>
      </c>
      <c r="K71" s="44">
        <v>152329</v>
      </c>
      <c r="L71" s="44">
        <v>1949</v>
      </c>
      <c r="M71" s="44">
        <v>53</v>
      </c>
      <c r="N71" s="43">
        <v>515700</v>
      </c>
      <c r="O71" s="44">
        <v>93</v>
      </c>
      <c r="P71" s="45">
        <f t="shared" si="10"/>
        <v>87.326834273986663</v>
      </c>
      <c r="Q71" s="45">
        <f t="shared" si="11"/>
        <v>3211.3207547169814</v>
      </c>
      <c r="R71" s="46">
        <f t="shared" si="12"/>
        <v>1.2794674684400213</v>
      </c>
      <c r="S71" s="46">
        <f t="shared" si="13"/>
        <v>2.7193432529502308</v>
      </c>
      <c r="T71" s="46">
        <f t="shared" si="14"/>
        <v>3.0299647473560518</v>
      </c>
      <c r="U71" s="41" t="s">
        <v>65</v>
      </c>
    </row>
    <row r="72" spans="1:21" x14ac:dyDescent="0.25">
      <c r="A72" s="35" t="s">
        <v>247</v>
      </c>
      <c r="B72" s="36" t="s">
        <v>248</v>
      </c>
      <c r="C72" s="36" t="s">
        <v>82</v>
      </c>
      <c r="D72" s="36" t="s">
        <v>60</v>
      </c>
      <c r="E72" s="35" t="s">
        <v>226</v>
      </c>
      <c r="F72" s="35" t="s">
        <v>242</v>
      </c>
      <c r="G72" s="35" t="s">
        <v>243</v>
      </c>
      <c r="H72" s="35" t="s">
        <v>244</v>
      </c>
      <c r="I72" s="37">
        <v>155200</v>
      </c>
      <c r="J72" s="37">
        <v>125000</v>
      </c>
      <c r="K72" s="38">
        <v>652888</v>
      </c>
      <c r="L72" s="38">
        <v>13971</v>
      </c>
      <c r="M72" s="38">
        <v>554</v>
      </c>
      <c r="N72" s="37">
        <v>487500</v>
      </c>
      <c r="O72" s="38">
        <v>1016</v>
      </c>
      <c r="P72" s="39">
        <f t="shared" si="10"/>
        <v>8.9471047169136071</v>
      </c>
      <c r="Q72" s="39">
        <f t="shared" si="11"/>
        <v>225.63176895306859</v>
      </c>
      <c r="R72" s="40">
        <f t="shared" si="12"/>
        <v>2.1398769773682469</v>
      </c>
      <c r="S72" s="40">
        <f t="shared" si="13"/>
        <v>3.9653568105361101</v>
      </c>
      <c r="T72" s="40">
        <f t="shared" si="14"/>
        <v>3.9</v>
      </c>
      <c r="U72" s="35" t="s">
        <v>65</v>
      </c>
    </row>
    <row r="73" spans="1:21" x14ac:dyDescent="0.25">
      <c r="A73" s="41" t="s">
        <v>249</v>
      </c>
      <c r="B73" s="42" t="s">
        <v>250</v>
      </c>
      <c r="C73" s="42" t="s">
        <v>75</v>
      </c>
      <c r="D73" s="42" t="s">
        <v>76</v>
      </c>
      <c r="E73" s="41" t="s">
        <v>226</v>
      </c>
      <c r="F73" s="41" t="s">
        <v>242</v>
      </c>
      <c r="G73" s="41" t="s">
        <v>243</v>
      </c>
      <c r="H73" s="41" t="s">
        <v>244</v>
      </c>
      <c r="I73" s="43">
        <v>123800</v>
      </c>
      <c r="J73" s="43">
        <v>93300</v>
      </c>
      <c r="K73" s="44">
        <v>287705</v>
      </c>
      <c r="L73" s="44">
        <v>2445</v>
      </c>
      <c r="M73" s="44">
        <v>35</v>
      </c>
      <c r="N73" s="43">
        <v>326600</v>
      </c>
      <c r="O73" s="44">
        <v>89</v>
      </c>
      <c r="P73" s="45">
        <f t="shared" si="10"/>
        <v>38.159509202453989</v>
      </c>
      <c r="Q73" s="45">
        <f t="shared" si="11"/>
        <v>2665.7142857142858</v>
      </c>
      <c r="R73" s="46">
        <f t="shared" si="12"/>
        <v>0.84982881771258767</v>
      </c>
      <c r="S73" s="46">
        <f t="shared" si="13"/>
        <v>1.4314928425357873</v>
      </c>
      <c r="T73" s="46">
        <f t="shared" si="14"/>
        <v>3.5005359056806</v>
      </c>
      <c r="U73" s="41" t="s">
        <v>65</v>
      </c>
    </row>
    <row r="74" spans="1:21" x14ac:dyDescent="0.25">
      <c r="A74" s="35" t="s">
        <v>251</v>
      </c>
      <c r="B74" s="36" t="s">
        <v>252</v>
      </c>
      <c r="C74" s="36" t="s">
        <v>59</v>
      </c>
      <c r="D74" s="36" t="s">
        <v>50</v>
      </c>
      <c r="E74" s="35" t="s">
        <v>226</v>
      </c>
      <c r="F74" s="35" t="s">
        <v>242</v>
      </c>
      <c r="G74" s="35" t="s">
        <v>243</v>
      </c>
      <c r="H74" s="35" t="s">
        <v>244</v>
      </c>
      <c r="I74" s="37">
        <v>19600</v>
      </c>
      <c r="J74" s="37">
        <v>16000</v>
      </c>
      <c r="K74" s="38">
        <v>651376</v>
      </c>
      <c r="L74" s="38">
        <v>145191</v>
      </c>
      <c r="M74" s="38">
        <v>12268</v>
      </c>
      <c r="N74" s="37">
        <v>107800</v>
      </c>
      <c r="O74" s="38">
        <v>26462</v>
      </c>
      <c r="P74" s="39">
        <f t="shared" si="10"/>
        <v>0.11019966802350008</v>
      </c>
      <c r="Q74" s="39">
        <f t="shared" si="11"/>
        <v>1.3042060645582001</v>
      </c>
      <c r="R74" s="40">
        <f t="shared" si="12"/>
        <v>22.289890938566973</v>
      </c>
      <c r="S74" s="40">
        <f t="shared" si="13"/>
        <v>8.4495595457018684</v>
      </c>
      <c r="T74" s="40">
        <f t="shared" si="14"/>
        <v>6.7374999999999998</v>
      </c>
      <c r="U74" s="35" t="s">
        <v>65</v>
      </c>
    </row>
    <row r="75" spans="1:21" x14ac:dyDescent="0.25">
      <c r="A75" s="41" t="s">
        <v>253</v>
      </c>
      <c r="B75" s="42" t="s">
        <v>254</v>
      </c>
      <c r="C75" s="42" t="s">
        <v>72</v>
      </c>
      <c r="D75" s="42" t="s">
        <v>76</v>
      </c>
      <c r="E75" s="41" t="s">
        <v>226</v>
      </c>
      <c r="F75" s="41" t="s">
        <v>242</v>
      </c>
      <c r="G75" s="41" t="s">
        <v>243</v>
      </c>
      <c r="H75" s="41" t="s">
        <v>244</v>
      </c>
      <c r="I75" s="43">
        <v>54700</v>
      </c>
      <c r="J75" s="43">
        <v>45900</v>
      </c>
      <c r="K75" s="44">
        <v>31063</v>
      </c>
      <c r="L75" s="44">
        <v>10679</v>
      </c>
      <c r="M75" s="44">
        <v>998</v>
      </c>
      <c r="N75" s="43">
        <v>325400</v>
      </c>
      <c r="O75" s="44">
        <v>2028</v>
      </c>
      <c r="P75" s="45">
        <f t="shared" si="10"/>
        <v>4.2981552579829572</v>
      </c>
      <c r="Q75" s="45">
        <f t="shared" si="11"/>
        <v>45.991983967935873</v>
      </c>
      <c r="R75" s="46">
        <f t="shared" si="12"/>
        <v>34.37852107008338</v>
      </c>
      <c r="S75" s="46">
        <f t="shared" si="13"/>
        <v>9.3454443299934447</v>
      </c>
      <c r="T75" s="46">
        <f t="shared" si="14"/>
        <v>7.0893246187363834</v>
      </c>
      <c r="U75" s="41" t="s">
        <v>65</v>
      </c>
    </row>
    <row r="76" spans="1:21" x14ac:dyDescent="0.25">
      <c r="A76" s="35" t="s">
        <v>255</v>
      </c>
      <c r="B76" s="36" t="s">
        <v>256</v>
      </c>
      <c r="C76" s="36" t="s">
        <v>91</v>
      </c>
      <c r="D76" s="36" t="s">
        <v>83</v>
      </c>
      <c r="E76" s="35" t="s">
        <v>226</v>
      </c>
      <c r="F76" s="35" t="s">
        <v>242</v>
      </c>
      <c r="G76" s="35" t="s">
        <v>243</v>
      </c>
      <c r="H76" s="35" t="s">
        <v>244</v>
      </c>
      <c r="I76" s="37">
        <v>232300</v>
      </c>
      <c r="J76" s="37">
        <v>180800</v>
      </c>
      <c r="K76" s="38">
        <v>653246</v>
      </c>
      <c r="L76" s="38">
        <v>23647</v>
      </c>
      <c r="M76" s="38">
        <v>529</v>
      </c>
      <c r="N76" s="37">
        <v>981700</v>
      </c>
      <c r="O76" s="38">
        <v>918</v>
      </c>
      <c r="P76" s="39">
        <f t="shared" si="10"/>
        <v>7.6457901636571233</v>
      </c>
      <c r="Q76" s="39">
        <f t="shared" si="11"/>
        <v>341.77693761814743</v>
      </c>
      <c r="R76" s="40">
        <f t="shared" si="12"/>
        <v>3.6199226631315002</v>
      </c>
      <c r="S76" s="40">
        <f t="shared" si="13"/>
        <v>2.2370702414682624</v>
      </c>
      <c r="T76" s="40">
        <f t="shared" si="14"/>
        <v>5.4297566371681416</v>
      </c>
      <c r="U76" s="35" t="s">
        <v>65</v>
      </c>
    </row>
    <row r="77" spans="1:21" x14ac:dyDescent="0.25">
      <c r="A77" s="41" t="s">
        <v>257</v>
      </c>
      <c r="B77" s="42" t="s">
        <v>258</v>
      </c>
      <c r="C77" s="42" t="s">
        <v>91</v>
      </c>
      <c r="D77" s="42" t="s">
        <v>83</v>
      </c>
      <c r="E77" s="41" t="s">
        <v>226</v>
      </c>
      <c r="F77" s="41" t="s">
        <v>259</v>
      </c>
      <c r="G77" s="41" t="s">
        <v>260</v>
      </c>
      <c r="H77" s="41" t="s">
        <v>261</v>
      </c>
      <c r="I77" s="43">
        <v>277900</v>
      </c>
      <c r="J77" s="43">
        <v>268400</v>
      </c>
      <c r="K77" s="44">
        <v>111880</v>
      </c>
      <c r="L77" s="44">
        <v>8491</v>
      </c>
      <c r="M77" s="44">
        <v>304</v>
      </c>
      <c r="N77" s="43">
        <v>926000</v>
      </c>
      <c r="O77" s="44">
        <v>563</v>
      </c>
      <c r="P77" s="45">
        <f t="shared" si="10"/>
        <v>31.609939936403251</v>
      </c>
      <c r="Q77" s="45">
        <f t="shared" si="11"/>
        <v>882.89473684210532</v>
      </c>
      <c r="R77" s="46">
        <f t="shared" si="12"/>
        <v>7.5893814801573116</v>
      </c>
      <c r="S77" s="46">
        <f t="shared" si="13"/>
        <v>3.580261453303498</v>
      </c>
      <c r="T77" s="46">
        <f t="shared" si="14"/>
        <v>3.4500745156482862</v>
      </c>
      <c r="U77" s="41" t="s">
        <v>65</v>
      </c>
    </row>
    <row r="78" spans="1:21" x14ac:dyDescent="0.25">
      <c r="A78" s="35" t="s">
        <v>262</v>
      </c>
      <c r="B78" s="36" t="s">
        <v>263</v>
      </c>
      <c r="C78" s="36" t="s">
        <v>72</v>
      </c>
      <c r="D78" s="36" t="s">
        <v>50</v>
      </c>
      <c r="E78" s="35" t="s">
        <v>226</v>
      </c>
      <c r="F78" s="35" t="s">
        <v>259</v>
      </c>
      <c r="G78" s="35" t="s">
        <v>260</v>
      </c>
      <c r="H78" s="35" t="s">
        <v>261</v>
      </c>
      <c r="I78" s="37">
        <v>35500</v>
      </c>
      <c r="J78" s="37">
        <v>30500</v>
      </c>
      <c r="K78" s="38">
        <v>19006</v>
      </c>
      <c r="L78" s="38">
        <v>4816</v>
      </c>
      <c r="M78" s="38">
        <v>472</v>
      </c>
      <c r="N78" s="37">
        <v>238200</v>
      </c>
      <c r="O78" s="38">
        <v>1133</v>
      </c>
      <c r="P78" s="39">
        <f t="shared" si="10"/>
        <v>6.3330564784053154</v>
      </c>
      <c r="Q78" s="39">
        <f t="shared" si="11"/>
        <v>64.618644067796609</v>
      </c>
      <c r="R78" s="40">
        <f t="shared" si="12"/>
        <v>25.339366515837103</v>
      </c>
      <c r="S78" s="40">
        <f t="shared" si="13"/>
        <v>9.8006644518272434</v>
      </c>
      <c r="T78" s="40">
        <f t="shared" si="14"/>
        <v>7.8098360655737702</v>
      </c>
      <c r="U78" s="35" t="s">
        <v>264</v>
      </c>
    </row>
    <row r="79" spans="1:21" x14ac:dyDescent="0.25">
      <c r="A79" s="41" t="s">
        <v>265</v>
      </c>
      <c r="B79" s="42" t="s">
        <v>266</v>
      </c>
      <c r="C79" s="42" t="s">
        <v>82</v>
      </c>
      <c r="D79" s="42" t="s">
        <v>69</v>
      </c>
      <c r="E79" s="41" t="s">
        <v>226</v>
      </c>
      <c r="F79" s="41" t="s">
        <v>259</v>
      </c>
      <c r="G79" s="41" t="s">
        <v>260</v>
      </c>
      <c r="H79" s="41" t="s">
        <v>261</v>
      </c>
      <c r="I79" s="43">
        <v>60400</v>
      </c>
      <c r="J79" s="43">
        <v>52000</v>
      </c>
      <c r="K79" s="44">
        <v>655533</v>
      </c>
      <c r="L79" s="44">
        <v>25303</v>
      </c>
      <c r="M79" s="44">
        <v>781</v>
      </c>
      <c r="N79" s="43">
        <v>159600</v>
      </c>
      <c r="O79" s="44">
        <v>2339</v>
      </c>
      <c r="P79" s="45">
        <f t="shared" si="10"/>
        <v>2.0550922815476427</v>
      </c>
      <c r="Q79" s="45">
        <f t="shared" si="11"/>
        <v>66.581306017925741</v>
      </c>
      <c r="R79" s="46">
        <f t="shared" si="12"/>
        <v>3.8599124681747523</v>
      </c>
      <c r="S79" s="46">
        <f t="shared" si="13"/>
        <v>3.0865905228629016</v>
      </c>
      <c r="T79" s="46">
        <f t="shared" si="14"/>
        <v>3.0692307692307694</v>
      </c>
      <c r="U79" s="41" t="s">
        <v>65</v>
      </c>
    </row>
    <row r="80" spans="1:21" x14ac:dyDescent="0.25">
      <c r="A80" s="35" t="s">
        <v>267</v>
      </c>
      <c r="B80" s="36" t="s">
        <v>268</v>
      </c>
      <c r="C80" s="36" t="s">
        <v>68</v>
      </c>
      <c r="D80" s="36" t="s">
        <v>60</v>
      </c>
      <c r="E80" s="35" t="s">
        <v>226</v>
      </c>
      <c r="F80" s="35" t="s">
        <v>259</v>
      </c>
      <c r="G80" s="35" t="s">
        <v>260</v>
      </c>
      <c r="H80" s="35" t="s">
        <v>261</v>
      </c>
      <c r="I80" s="37">
        <v>45900</v>
      </c>
      <c r="J80" s="37">
        <v>42000</v>
      </c>
      <c r="K80" s="38">
        <v>669691</v>
      </c>
      <c r="L80" s="38">
        <v>38038</v>
      </c>
      <c r="M80" s="38">
        <v>985</v>
      </c>
      <c r="N80" s="37">
        <v>342700</v>
      </c>
      <c r="O80" s="38">
        <v>2238</v>
      </c>
      <c r="P80" s="39">
        <f t="shared" si="10"/>
        <v>1.1041589988958409</v>
      </c>
      <c r="Q80" s="39">
        <f t="shared" si="11"/>
        <v>42.639593908629443</v>
      </c>
      <c r="R80" s="40">
        <f t="shared" si="12"/>
        <v>5.6799329840180022</v>
      </c>
      <c r="S80" s="40">
        <f t="shared" si="13"/>
        <v>2.5895157474104846</v>
      </c>
      <c r="T80" s="40">
        <f t="shared" si="14"/>
        <v>8.1595238095238098</v>
      </c>
      <c r="U80" s="35" t="s">
        <v>264</v>
      </c>
    </row>
    <row r="81" spans="1:21" x14ac:dyDescent="0.25">
      <c r="A81" s="41" t="s">
        <v>269</v>
      </c>
      <c r="B81" s="42" t="s">
        <v>270</v>
      </c>
      <c r="C81" s="42" t="s">
        <v>98</v>
      </c>
      <c r="D81" s="42" t="s">
        <v>83</v>
      </c>
      <c r="E81" s="41" t="s">
        <v>226</v>
      </c>
      <c r="F81" s="41" t="s">
        <v>259</v>
      </c>
      <c r="G81" s="41" t="s">
        <v>260</v>
      </c>
      <c r="H81" s="41" t="s">
        <v>261</v>
      </c>
      <c r="I81" s="43">
        <v>203300</v>
      </c>
      <c r="J81" s="43">
        <v>182000</v>
      </c>
      <c r="K81" s="44">
        <v>219308</v>
      </c>
      <c r="L81" s="44">
        <v>6184</v>
      </c>
      <c r="M81" s="44">
        <v>62</v>
      </c>
      <c r="N81" s="43">
        <v>500500</v>
      </c>
      <c r="O81" s="44">
        <v>121</v>
      </c>
      <c r="P81" s="45">
        <f t="shared" si="10"/>
        <v>29.430789133247089</v>
      </c>
      <c r="Q81" s="45">
        <f t="shared" si="11"/>
        <v>2935.483870967742</v>
      </c>
      <c r="R81" s="46">
        <f t="shared" si="12"/>
        <v>2.8197785762489285</v>
      </c>
      <c r="S81" s="46">
        <f t="shared" si="13"/>
        <v>1.0025873221216042</v>
      </c>
      <c r="T81" s="46">
        <f t="shared" si="14"/>
        <v>2.75</v>
      </c>
      <c r="U81" s="41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B6C"/>
  </sheetPr>
  <dimension ref="A1:L13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12" customWidth="1"/>
    <col min="3" max="4" width="16" customWidth="1"/>
    <col min="5" max="5" width="14" customWidth="1"/>
    <col min="6" max="6" width="15" customWidth="1"/>
    <col min="7" max="7" width="12" customWidth="1"/>
    <col min="8" max="8" width="13" customWidth="1"/>
    <col min="9" max="9" width="18" customWidth="1"/>
    <col min="10" max="10" width="10" customWidth="1"/>
    <col min="11" max="11" width="12" customWidth="1"/>
    <col min="12" max="12" width="16" customWidth="1"/>
  </cols>
  <sheetData>
    <row r="1" spans="1:12" ht="42" customHeight="1" x14ac:dyDescent="0.25">
      <c r="A1" s="83" t="s">
        <v>271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2" ht="19.5" customHeight="1" x14ac:dyDescent="0.25">
      <c r="A2" s="13" t="s">
        <v>272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0" customHeight="1" x14ac:dyDescent="0.25">
      <c r="A4" s="47" t="s">
        <v>40</v>
      </c>
      <c r="B4" s="47" t="s">
        <v>273</v>
      </c>
      <c r="C4" s="47" t="s">
        <v>274</v>
      </c>
      <c r="D4" s="47" t="s">
        <v>275</v>
      </c>
      <c r="E4" s="47" t="s">
        <v>276</v>
      </c>
      <c r="F4" s="47" t="s">
        <v>48</v>
      </c>
      <c r="G4" s="47" t="s">
        <v>49</v>
      </c>
      <c r="H4" s="47" t="s">
        <v>50</v>
      </c>
      <c r="I4" s="47" t="s">
        <v>277</v>
      </c>
      <c r="J4" s="47" t="s">
        <v>278</v>
      </c>
      <c r="K4" s="47" t="s">
        <v>279</v>
      </c>
      <c r="L4" s="47" t="s">
        <v>280</v>
      </c>
    </row>
    <row r="5" spans="1:12" ht="21.75" customHeight="1" x14ac:dyDescent="0.25">
      <c r="A5" s="48" t="s">
        <v>91</v>
      </c>
      <c r="B5" s="49">
        <f>COUNTIF('Campaign Data'!C:C,A5)</f>
        <v>9</v>
      </c>
      <c r="C5" s="50">
        <f>SUMIF('Campaign Data'!C:C,A5,'Campaign Data'!I:I)</f>
        <v>1950400</v>
      </c>
      <c r="D5" s="50">
        <f>SUMIF('Campaign Data'!C:C,A5,'Campaign Data'!J:J)</f>
        <v>1743600</v>
      </c>
      <c r="E5" s="25">
        <f t="shared" ref="E5:E12" si="0">IFERROR(D5/C5,0)</f>
        <v>0.89397046759639054</v>
      </c>
      <c r="F5" s="18">
        <f>SUMIF('Campaign Data'!C:C,A5,'Campaign Data'!K:K)</f>
        <v>3155081</v>
      </c>
      <c r="G5" s="18">
        <f>SUMIF('Campaign Data'!C:C,A5,'Campaign Data'!L:L)</f>
        <v>192765</v>
      </c>
      <c r="H5" s="18">
        <f>SUMIF('Campaign Data'!C:C,A5,'Campaign Data'!M:M)</f>
        <v>7767</v>
      </c>
      <c r="I5" s="50">
        <f>SUMIF('Campaign Data'!C:C,A5,'Campaign Data'!N:N)</f>
        <v>7108900</v>
      </c>
      <c r="J5" s="29">
        <f t="shared" ref="J5:J12" si="1">IFERROR(I5/D5,0)</f>
        <v>4.0771392521220466</v>
      </c>
      <c r="K5" s="29">
        <f>IFERROR(AVERAGEIF('Campaign Data'!C:C,A5,'Campaign Data'!R:R),0)</f>
        <v>6.2164251943118165</v>
      </c>
      <c r="L5" s="29">
        <f>IFERROR(AVERAGEIF('Campaign Data'!C:C,A5,'Campaign Data'!S:S),0)</f>
        <v>4.04947810953065</v>
      </c>
    </row>
    <row r="6" spans="1:12" ht="21.75" customHeight="1" x14ac:dyDescent="0.25">
      <c r="A6" s="51" t="s">
        <v>82</v>
      </c>
      <c r="B6" s="52">
        <f>COUNTIF('Campaign Data'!C:C,A6)</f>
        <v>11</v>
      </c>
      <c r="C6" s="22">
        <f>SUMIF('Campaign Data'!C:C,A6,'Campaign Data'!I:I)</f>
        <v>2043200</v>
      </c>
      <c r="D6" s="22">
        <f>SUMIF('Campaign Data'!C:C,A6,'Campaign Data'!J:J)</f>
        <v>1751600</v>
      </c>
      <c r="E6" s="53">
        <f t="shared" si="0"/>
        <v>0.85728269381362565</v>
      </c>
      <c r="F6" s="54">
        <f>SUMIF('Campaign Data'!C:C,A6,'Campaign Data'!K:K)</f>
        <v>4570826</v>
      </c>
      <c r="G6" s="54">
        <f>SUMIF('Campaign Data'!C:C,A6,'Campaign Data'!L:L)</f>
        <v>132238</v>
      </c>
      <c r="H6" s="54">
        <f>SUMIF('Campaign Data'!C:C,A6,'Campaign Data'!M:M)</f>
        <v>3272</v>
      </c>
      <c r="I6" s="22">
        <f>SUMIF('Campaign Data'!C:C,A6,'Campaign Data'!N:N)</f>
        <v>6712800</v>
      </c>
      <c r="J6" s="27">
        <f t="shared" si="1"/>
        <v>3.8323818223338662</v>
      </c>
      <c r="K6" s="27">
        <f>IFERROR(AVERAGEIF('Campaign Data'!C:C,A6,'Campaign Data'!R:R),0)</f>
        <v>2.9270987719989261</v>
      </c>
      <c r="L6" s="27">
        <f>IFERROR(AVERAGEIF('Campaign Data'!C:C,A6,'Campaign Data'!S:S),0)</f>
        <v>2.5952748194018125</v>
      </c>
    </row>
    <row r="7" spans="1:12" ht="21.75" customHeight="1" x14ac:dyDescent="0.25">
      <c r="A7" s="55" t="s">
        <v>72</v>
      </c>
      <c r="B7" s="49">
        <f>COUNTIF('Campaign Data'!C:C,A7)</f>
        <v>11</v>
      </c>
      <c r="C7" s="50">
        <f>SUMIF('Campaign Data'!C:C,A7,'Campaign Data'!I:I)</f>
        <v>419000</v>
      </c>
      <c r="D7" s="50">
        <f>SUMIF('Campaign Data'!C:C,A7,'Campaign Data'!J:J)</f>
        <v>366000</v>
      </c>
      <c r="E7" s="25">
        <f t="shared" si="0"/>
        <v>0.87350835322195708</v>
      </c>
      <c r="F7" s="18">
        <f>SUMIF('Campaign Data'!C:C,A7,'Campaign Data'!K:K)</f>
        <v>2203111</v>
      </c>
      <c r="G7" s="18">
        <f>SUMIF('Campaign Data'!C:C,A7,'Campaign Data'!L:L)</f>
        <v>548181</v>
      </c>
      <c r="H7" s="18">
        <f>SUMIF('Campaign Data'!C:C,A7,'Campaign Data'!M:M)</f>
        <v>68518</v>
      </c>
      <c r="I7" s="50">
        <f>SUMIF('Campaign Data'!C:C,A7,'Campaign Data'!N:N)</f>
        <v>2887400</v>
      </c>
      <c r="J7" s="29">
        <f t="shared" si="1"/>
        <v>7.889071038251366</v>
      </c>
      <c r="K7" s="29">
        <f>IFERROR(AVERAGEIF('Campaign Data'!C:C,A7,'Campaign Data'!R:R),0)</f>
        <v>26.127787358155977</v>
      </c>
      <c r="L7" s="29">
        <f>IFERROR(AVERAGEIF('Campaign Data'!C:C,A7,'Campaign Data'!S:S),0)</f>
        <v>11.808742119946119</v>
      </c>
    </row>
    <row r="8" spans="1:12" ht="21.75" customHeight="1" x14ac:dyDescent="0.25">
      <c r="A8" s="56" t="s">
        <v>68</v>
      </c>
      <c r="B8" s="52">
        <f>COUNTIF('Campaign Data'!C:C,A8)</f>
        <v>11</v>
      </c>
      <c r="C8" s="22">
        <f>SUMIF('Campaign Data'!C:C,A8,'Campaign Data'!I:I)</f>
        <v>730200</v>
      </c>
      <c r="D8" s="22">
        <f>SUMIF('Campaign Data'!C:C,A8,'Campaign Data'!J:J)</f>
        <v>652200</v>
      </c>
      <c r="E8" s="53">
        <f t="shared" si="0"/>
        <v>0.89317995069843881</v>
      </c>
      <c r="F8" s="54">
        <f>SUMIF('Campaign Data'!C:C,A8,'Campaign Data'!K:K)</f>
        <v>3964631</v>
      </c>
      <c r="G8" s="54">
        <f>SUMIF('Campaign Data'!C:C,A8,'Campaign Data'!L:L)</f>
        <v>173857</v>
      </c>
      <c r="H8" s="54">
        <f>SUMIF('Campaign Data'!C:C,A8,'Campaign Data'!M:M)</f>
        <v>6126</v>
      </c>
      <c r="I8" s="22">
        <f>SUMIF('Campaign Data'!C:C,A8,'Campaign Data'!N:N)</f>
        <v>4632500</v>
      </c>
      <c r="J8" s="27">
        <f t="shared" si="1"/>
        <v>7.1028825513646119</v>
      </c>
      <c r="K8" s="27">
        <f>IFERROR(AVERAGEIF('Campaign Data'!C:C,A8,'Campaign Data'!R:R),0)</f>
        <v>4.1406230444438394</v>
      </c>
      <c r="L8" s="27">
        <f>IFERROR(AVERAGEIF('Campaign Data'!C:C,A8,'Campaign Data'!S:S),0)</f>
        <v>3.6145583934278163</v>
      </c>
    </row>
    <row r="9" spans="1:12" ht="21.75" customHeight="1" x14ac:dyDescent="0.25">
      <c r="A9" s="57" t="s">
        <v>75</v>
      </c>
      <c r="B9" s="49">
        <f>COUNTIF('Campaign Data'!C:C,A9)</f>
        <v>10</v>
      </c>
      <c r="C9" s="50">
        <f>SUMIF('Campaign Data'!C:C,A9,'Campaign Data'!I:I)</f>
        <v>1810300</v>
      </c>
      <c r="D9" s="50">
        <f>SUMIF('Campaign Data'!C:C,A9,'Campaign Data'!J:J)</f>
        <v>1634600</v>
      </c>
      <c r="E9" s="25">
        <f t="shared" si="0"/>
        <v>0.90294426338175993</v>
      </c>
      <c r="F9" s="18">
        <f>SUMIF('Campaign Data'!C:C,A9,'Campaign Data'!K:K)</f>
        <v>3971303</v>
      </c>
      <c r="G9" s="18">
        <f>SUMIF('Campaign Data'!C:C,A9,'Campaign Data'!L:L)</f>
        <v>39051</v>
      </c>
      <c r="H9" s="18">
        <f>SUMIF('Campaign Data'!C:C,A9,'Campaign Data'!M:M)</f>
        <v>545</v>
      </c>
      <c r="I9" s="50">
        <f>SUMIF('Campaign Data'!C:C,A9,'Campaign Data'!N:N)</f>
        <v>4730500</v>
      </c>
      <c r="J9" s="29">
        <f t="shared" si="1"/>
        <v>2.8939801786369754</v>
      </c>
      <c r="K9" s="29">
        <f>IFERROR(AVERAGEIF('Campaign Data'!C:C,A9,'Campaign Data'!R:R),0)</f>
        <v>1.0918251360468976</v>
      </c>
      <c r="L9" s="29">
        <f>IFERROR(AVERAGEIF('Campaign Data'!C:C,A9,'Campaign Data'!S:S),0)</f>
        <v>1.4355933244468431</v>
      </c>
    </row>
    <row r="10" spans="1:12" ht="21.75" customHeight="1" x14ac:dyDescent="0.25">
      <c r="A10" s="58" t="s">
        <v>79</v>
      </c>
      <c r="B10" s="52">
        <f>COUNTIF('Campaign Data'!C:C,A10)</f>
        <v>9</v>
      </c>
      <c r="C10" s="22">
        <f>SUMIF('Campaign Data'!C:C,A10,'Campaign Data'!I:I)</f>
        <v>1297500</v>
      </c>
      <c r="D10" s="22">
        <f>SUMIF('Campaign Data'!C:C,A10,'Campaign Data'!J:J)</f>
        <v>1139600</v>
      </c>
      <c r="E10" s="53">
        <f t="shared" si="0"/>
        <v>0.87830443159922933</v>
      </c>
      <c r="F10" s="54">
        <f>SUMIF('Campaign Data'!C:C,A10,'Campaign Data'!K:K)</f>
        <v>3474949</v>
      </c>
      <c r="G10" s="54">
        <f>SUMIF('Campaign Data'!C:C,A10,'Campaign Data'!L:L)</f>
        <v>34813</v>
      </c>
      <c r="H10" s="54">
        <f>SUMIF('Campaign Data'!C:C,A10,'Campaign Data'!M:M)</f>
        <v>673</v>
      </c>
      <c r="I10" s="22">
        <f>SUMIF('Campaign Data'!C:C,A10,'Campaign Data'!N:N)</f>
        <v>4018400</v>
      </c>
      <c r="J10" s="27">
        <f t="shared" si="1"/>
        <v>3.5261495261495264</v>
      </c>
      <c r="K10" s="27">
        <f>IFERROR(AVERAGEIF('Campaign Data'!C:C,A10,'Campaign Data'!R:R),0)</f>
        <v>1.0406532996773272</v>
      </c>
      <c r="L10" s="27">
        <f>IFERROR(AVERAGEIF('Campaign Data'!C:C,A10,'Campaign Data'!S:S),0)</f>
        <v>2.0430351567089478</v>
      </c>
    </row>
    <row r="11" spans="1:12" ht="21.75" customHeight="1" x14ac:dyDescent="0.25">
      <c r="A11" s="59" t="s">
        <v>98</v>
      </c>
      <c r="B11" s="49">
        <f>COUNTIF('Campaign Data'!C:C,A11)</f>
        <v>10</v>
      </c>
      <c r="C11" s="50">
        <f>SUMIF('Campaign Data'!C:C,A11,'Campaign Data'!I:I)</f>
        <v>2400400</v>
      </c>
      <c r="D11" s="50">
        <f>SUMIF('Campaign Data'!C:C,A11,'Campaign Data'!J:J)</f>
        <v>2146000</v>
      </c>
      <c r="E11" s="25">
        <f t="shared" si="0"/>
        <v>0.89401766372271285</v>
      </c>
      <c r="F11" s="18">
        <f>SUMIF('Campaign Data'!C:C,A11,'Campaign Data'!K:K)</f>
        <v>3123817</v>
      </c>
      <c r="G11" s="18">
        <f>SUMIF('Campaign Data'!C:C,A11,'Campaign Data'!L:L)</f>
        <v>57471</v>
      </c>
      <c r="H11" s="18">
        <f>SUMIF('Campaign Data'!C:C,A11,'Campaign Data'!M:M)</f>
        <v>720</v>
      </c>
      <c r="I11" s="50">
        <f>SUMIF('Campaign Data'!C:C,A11,'Campaign Data'!N:N)</f>
        <v>6330700</v>
      </c>
      <c r="J11" s="29">
        <f t="shared" si="1"/>
        <v>2.95</v>
      </c>
      <c r="K11" s="29">
        <f>IFERROR(AVERAGEIF('Campaign Data'!C:C,A11,'Campaign Data'!R:R),0)</f>
        <v>1.9247087290793268</v>
      </c>
      <c r="L11" s="29">
        <f>IFERROR(AVERAGEIF('Campaign Data'!C:C,A11,'Campaign Data'!S:S),0)</f>
        <v>1.1610970489066514</v>
      </c>
    </row>
    <row r="12" spans="1:12" ht="21.75" customHeight="1" x14ac:dyDescent="0.25">
      <c r="A12" s="60" t="s">
        <v>59</v>
      </c>
      <c r="B12" s="52">
        <f>COUNTIF('Campaign Data'!C:C,A12)</f>
        <v>9</v>
      </c>
      <c r="C12" s="22">
        <f>SUMIF('Campaign Data'!C:C,A12,'Campaign Data'!I:I)</f>
        <v>148700</v>
      </c>
      <c r="D12" s="22">
        <f>SUMIF('Campaign Data'!C:C,A12,'Campaign Data'!J:J)</f>
        <v>127200</v>
      </c>
      <c r="E12" s="53">
        <f t="shared" si="0"/>
        <v>0.85541358439811699</v>
      </c>
      <c r="F12" s="54">
        <f>SUMIF('Campaign Data'!C:C,A12,'Campaign Data'!K:K)</f>
        <v>3986182</v>
      </c>
      <c r="G12" s="54">
        <f>SUMIF('Campaign Data'!C:C,A12,'Campaign Data'!L:L)</f>
        <v>1281317</v>
      </c>
      <c r="H12" s="54">
        <f>SUMIF('Campaign Data'!C:C,A12,'Campaign Data'!M:M)</f>
        <v>83478</v>
      </c>
      <c r="I12" s="22">
        <f>SUMIF('Campaign Data'!C:C,A12,'Campaign Data'!N:N)</f>
        <v>721400</v>
      </c>
      <c r="J12" s="27">
        <f t="shared" si="1"/>
        <v>5.6713836477987423</v>
      </c>
      <c r="K12" s="27">
        <f>IFERROR(AVERAGEIF('Campaign Data'!C:C,A12,'Campaign Data'!R:R),0)</f>
        <v>32.787712531083969</v>
      </c>
      <c r="L12" s="27">
        <f>IFERROR(AVERAGEIF('Campaign Data'!C:C,A12,'Campaign Data'!S:S),0)</f>
        <v>6.3430188591721643</v>
      </c>
    </row>
    <row r="13" spans="1:12" ht="25.5" customHeight="1" x14ac:dyDescent="0.25">
      <c r="A13" s="15" t="s">
        <v>281</v>
      </c>
      <c r="B13" s="15">
        <f>SUM(B5:B12)</f>
        <v>80</v>
      </c>
      <c r="C13" s="61">
        <f>SUM(C5:C12)</f>
        <v>10799700</v>
      </c>
      <c r="D13" s="61">
        <f>SUM(D5:D12)</f>
        <v>9560800</v>
      </c>
      <c r="E13" s="62">
        <f>IFERROR(SUM(D5:D12)/SUM(C5:C12),0)</f>
        <v>0.88528385047732805</v>
      </c>
      <c r="F13" s="63">
        <f>SUM(F5:F12)</f>
        <v>28449900</v>
      </c>
      <c r="G13" s="63">
        <f>SUM(G5:G12)</f>
        <v>2459693</v>
      </c>
      <c r="H13" s="63">
        <f>SUM(H5:H12)</f>
        <v>171099</v>
      </c>
      <c r="I13" s="61">
        <f>SUM(I5:I12)</f>
        <v>37142600</v>
      </c>
      <c r="J13" s="64">
        <f>IFERROR(SUM(I5:I12)/SUM(D5:D12),0)</f>
        <v>3.8848841101163081</v>
      </c>
      <c r="K13" s="64">
        <f>AVERAGE(K5:K12)</f>
        <v>9.5321042580997606</v>
      </c>
      <c r="L13" s="64">
        <f>AVERAGE(L5:L12)</f>
        <v>4.1313497289426255</v>
      </c>
    </row>
  </sheetData>
  <mergeCells count="2">
    <mergeCell ref="A1:L1"/>
    <mergeCell ref="A2:L2"/>
  </mergeCells>
  <conditionalFormatting sqref="D5:D12">
    <cfRule type="dataBar" priority="3">
      <dataBar>
        <cfvo type="min"/>
        <cfvo type="max"/>
        <color rgb="FF0F7B6C"/>
      </dataBar>
      <extLst>
        <ext xmlns:x14="http://schemas.microsoft.com/office/spreadsheetml/2009/9/main" uri="{B025F937-C7B1-47D3-B67F-A62EFF666E3E}">
          <x14:id>{9FE91F7B-D4D8-403F-896B-824ACF6D47C4}</x14:id>
        </ext>
      </extLst>
    </cfRule>
  </conditionalFormatting>
  <conditionalFormatting sqref="J5:J12">
    <cfRule type="colorScale" priority="2">
      <colorScale>
        <cfvo type="min"/>
        <cfvo type="percentile" val="50"/>
        <cfvo type="max"/>
        <color rgb="FFF56565"/>
        <color rgb="FFFAF089"/>
        <color rgb="FF68D39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E91F7B-D4D8-403F-896B-824ACF6D47C4}">
            <x14:dataBar axisPosition="none">
              <x14:cfvo type="min"/>
              <x14:cfvo type="max"/>
              <x14:negativeFillColor rgb="FF0F7B6C"/>
            </x14:dataBar>
          </x14:cfRule>
          <xm:sqref>D5:D12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631A"/>
  </sheetPr>
  <dimension ref="A1:K16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12" customWidth="1"/>
    <col min="2" max="2" width="10" customWidth="1"/>
    <col min="3" max="3" width="12" customWidth="1"/>
    <col min="4" max="4" width="16" customWidth="1"/>
    <col min="5" max="5" width="14" customWidth="1"/>
    <col min="6" max="6" width="15" customWidth="1"/>
    <col min="7" max="7" width="12" customWidth="1"/>
    <col min="8" max="8" width="13" customWidth="1"/>
    <col min="9" max="9" width="16" customWidth="1"/>
    <col min="10" max="10" width="12" customWidth="1"/>
    <col min="11" max="11" width="14" customWidth="1"/>
  </cols>
  <sheetData>
    <row r="1" spans="1:11" ht="39.75" customHeight="1" x14ac:dyDescent="0.25">
      <c r="A1" s="84" t="s">
        <v>282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3" spans="1:11" ht="27.75" customHeight="1" x14ac:dyDescent="0.25">
      <c r="A3" s="47" t="s">
        <v>43</v>
      </c>
      <c r="B3" s="47" t="s">
        <v>42</v>
      </c>
      <c r="C3" s="47" t="s">
        <v>273</v>
      </c>
      <c r="D3" s="47" t="s">
        <v>46</v>
      </c>
      <c r="E3" s="47" t="s">
        <v>47</v>
      </c>
      <c r="F3" s="47" t="s">
        <v>48</v>
      </c>
      <c r="G3" s="47" t="s">
        <v>49</v>
      </c>
      <c r="H3" s="47" t="s">
        <v>50</v>
      </c>
      <c r="I3" s="47" t="s">
        <v>283</v>
      </c>
      <c r="J3" s="47" t="s">
        <v>278</v>
      </c>
      <c r="K3" s="47" t="s">
        <v>284</v>
      </c>
    </row>
    <row r="4" spans="1:11" ht="21.75" customHeight="1" x14ac:dyDescent="0.25">
      <c r="A4" s="65" t="s">
        <v>62</v>
      </c>
      <c r="B4" s="52" t="s">
        <v>61</v>
      </c>
      <c r="C4" s="52">
        <f>COUNTIF('Campaign Data'!F:F,A4)</f>
        <v>6</v>
      </c>
      <c r="D4" s="22">
        <f>SUMIF('Campaign Data'!F:F,A4,'Campaign Data'!I:I)</f>
        <v>684000</v>
      </c>
      <c r="E4" s="22">
        <f>SUMIF('Campaign Data'!F:F,A4,'Campaign Data'!J:J)</f>
        <v>584800</v>
      </c>
      <c r="F4" s="54">
        <f>SUMIF('Campaign Data'!F:F,A4,'Campaign Data'!K:K)</f>
        <v>1699039</v>
      </c>
      <c r="G4" s="54">
        <f>SUMIF('Campaign Data'!F:F,A4,'Campaign Data'!L:L)</f>
        <v>299735</v>
      </c>
      <c r="H4" s="54">
        <f>SUMIF('Campaign Data'!F:F,A4,'Campaign Data'!M:M)</f>
        <v>19561</v>
      </c>
      <c r="I4" s="22">
        <f>SUMIF('Campaign Data'!F:F,A4,'Campaign Data'!N:N)</f>
        <v>2725100</v>
      </c>
      <c r="J4" s="27">
        <f t="shared" ref="J4:J15" si="0">IFERROR(I4/E4,0)</f>
        <v>4.6598837209302326</v>
      </c>
      <c r="K4" s="52" t="str">
        <f t="shared" ref="K4:K15" si="1">IFERROR(IF(ROW()=4,"-",(I4-I3)/I3),"-")</f>
        <v>-</v>
      </c>
    </row>
    <row r="5" spans="1:11" ht="21.75" customHeight="1" x14ac:dyDescent="0.25">
      <c r="A5" s="66" t="s">
        <v>86</v>
      </c>
      <c r="B5" s="49" t="s">
        <v>61</v>
      </c>
      <c r="C5" s="49">
        <f>COUNTIF('Campaign Data'!F:F,A5)</f>
        <v>5</v>
      </c>
      <c r="D5" s="50">
        <f>SUMIF('Campaign Data'!F:F,A5,'Campaign Data'!I:I)</f>
        <v>754100</v>
      </c>
      <c r="E5" s="50">
        <f>SUMIF('Campaign Data'!F:F,A5,'Campaign Data'!J:J)</f>
        <v>673500</v>
      </c>
      <c r="F5" s="18">
        <f>SUMIF('Campaign Data'!F:F,A5,'Campaign Data'!K:K)</f>
        <v>2210897</v>
      </c>
      <c r="G5" s="18">
        <f>SUMIF('Campaign Data'!F:F,A5,'Campaign Data'!L:L)</f>
        <v>131988</v>
      </c>
      <c r="H5" s="18">
        <f>SUMIF('Campaign Data'!F:F,A5,'Campaign Data'!M:M)</f>
        <v>12237</v>
      </c>
      <c r="I5" s="50">
        <f>SUMIF('Campaign Data'!F:F,A5,'Campaign Data'!N:N)</f>
        <v>2675300</v>
      </c>
      <c r="J5" s="29">
        <f t="shared" si="0"/>
        <v>3.9722345953971789</v>
      </c>
      <c r="K5" s="67">
        <f t="shared" si="1"/>
        <v>-1.827455873178966E-2</v>
      </c>
    </row>
    <row r="6" spans="1:11" ht="21.75" customHeight="1" x14ac:dyDescent="0.25">
      <c r="A6" s="65" t="s">
        <v>101</v>
      </c>
      <c r="B6" s="52" t="s">
        <v>61</v>
      </c>
      <c r="C6" s="52">
        <f>COUNTIF('Campaign Data'!F:F,A6)</f>
        <v>7</v>
      </c>
      <c r="D6" s="22">
        <f>SUMIF('Campaign Data'!F:F,A6,'Campaign Data'!I:I)</f>
        <v>925900</v>
      </c>
      <c r="E6" s="22">
        <f>SUMIF('Campaign Data'!F:F,A6,'Campaign Data'!J:J)</f>
        <v>807100</v>
      </c>
      <c r="F6" s="54">
        <f>SUMIF('Campaign Data'!F:F,A6,'Campaign Data'!K:K)</f>
        <v>2327505</v>
      </c>
      <c r="G6" s="54">
        <f>SUMIF('Campaign Data'!F:F,A6,'Campaign Data'!L:L)</f>
        <v>136171</v>
      </c>
      <c r="H6" s="54">
        <f>SUMIF('Campaign Data'!F:F,A6,'Campaign Data'!M:M)</f>
        <v>10154</v>
      </c>
      <c r="I6" s="22">
        <f>SUMIF('Campaign Data'!F:F,A6,'Campaign Data'!N:N)</f>
        <v>2603600</v>
      </c>
      <c r="J6" s="27">
        <f t="shared" si="0"/>
        <v>3.2258704001982408</v>
      </c>
      <c r="K6" s="68">
        <f t="shared" si="1"/>
        <v>-2.6800732628116473E-2</v>
      </c>
    </row>
    <row r="7" spans="1:11" ht="21.75" customHeight="1" x14ac:dyDescent="0.25">
      <c r="A7" s="66" t="s">
        <v>119</v>
      </c>
      <c r="B7" s="49" t="s">
        <v>118</v>
      </c>
      <c r="C7" s="49">
        <f>COUNTIF('Campaign Data'!F:F,A7)</f>
        <v>7</v>
      </c>
      <c r="D7" s="50">
        <f>SUMIF('Campaign Data'!F:F,A7,'Campaign Data'!I:I)</f>
        <v>1005800</v>
      </c>
      <c r="E7" s="50">
        <f>SUMIF('Campaign Data'!F:F,A7,'Campaign Data'!J:J)</f>
        <v>908400</v>
      </c>
      <c r="F7" s="18">
        <f>SUMIF('Campaign Data'!F:F,A7,'Campaign Data'!K:K)</f>
        <v>2616455</v>
      </c>
      <c r="G7" s="18">
        <f>SUMIF('Campaign Data'!F:F,A7,'Campaign Data'!L:L)</f>
        <v>181575</v>
      </c>
      <c r="H7" s="18">
        <f>SUMIF('Campaign Data'!F:F,A7,'Campaign Data'!M:M)</f>
        <v>12583</v>
      </c>
      <c r="I7" s="50">
        <f>SUMIF('Campaign Data'!F:F,A7,'Campaign Data'!N:N)</f>
        <v>4022100</v>
      </c>
      <c r="J7" s="29">
        <f t="shared" si="0"/>
        <v>4.4276750330250989</v>
      </c>
      <c r="K7" s="67">
        <f t="shared" si="1"/>
        <v>0.54482255338761709</v>
      </c>
    </row>
    <row r="8" spans="1:11" ht="21.75" customHeight="1" x14ac:dyDescent="0.25">
      <c r="A8" s="65" t="s">
        <v>136</v>
      </c>
      <c r="B8" s="52" t="s">
        <v>118</v>
      </c>
      <c r="C8" s="52">
        <f>COUNTIF('Campaign Data'!F:F,A8)</f>
        <v>8</v>
      </c>
      <c r="D8" s="22">
        <f>SUMIF('Campaign Data'!F:F,A8,'Campaign Data'!I:I)</f>
        <v>1109500</v>
      </c>
      <c r="E8" s="22">
        <f>SUMIF('Campaign Data'!F:F,A8,'Campaign Data'!J:J)</f>
        <v>1057300</v>
      </c>
      <c r="F8" s="54">
        <f>SUMIF('Campaign Data'!F:F,A8,'Campaign Data'!K:K)</f>
        <v>2406057</v>
      </c>
      <c r="G8" s="54">
        <f>SUMIF('Campaign Data'!F:F,A8,'Campaign Data'!L:L)</f>
        <v>293842</v>
      </c>
      <c r="H8" s="54">
        <f>SUMIF('Campaign Data'!F:F,A8,'Campaign Data'!M:M)</f>
        <v>24989</v>
      </c>
      <c r="I8" s="22">
        <f>SUMIF('Campaign Data'!F:F,A8,'Campaign Data'!N:N)</f>
        <v>3772800</v>
      </c>
      <c r="J8" s="27">
        <f t="shared" si="0"/>
        <v>3.5683344367729122</v>
      </c>
      <c r="K8" s="68">
        <f t="shared" si="1"/>
        <v>-6.1982546430968899E-2</v>
      </c>
    </row>
    <row r="9" spans="1:11" ht="21.75" customHeight="1" x14ac:dyDescent="0.25">
      <c r="A9" s="66" t="s">
        <v>155</v>
      </c>
      <c r="B9" s="49" t="s">
        <v>118</v>
      </c>
      <c r="C9" s="49">
        <f>COUNTIF('Campaign Data'!F:F,A9)</f>
        <v>7</v>
      </c>
      <c r="D9" s="50">
        <f>SUMIF('Campaign Data'!F:F,A9,'Campaign Data'!I:I)</f>
        <v>930900</v>
      </c>
      <c r="E9" s="50">
        <f>SUMIF('Campaign Data'!F:F,A9,'Campaign Data'!J:J)</f>
        <v>878100</v>
      </c>
      <c r="F9" s="18">
        <f>SUMIF('Campaign Data'!F:F,A9,'Campaign Data'!K:K)</f>
        <v>2987321</v>
      </c>
      <c r="G9" s="18">
        <f>SUMIF('Campaign Data'!F:F,A9,'Campaign Data'!L:L)</f>
        <v>309904</v>
      </c>
      <c r="H9" s="18">
        <f>SUMIF('Campaign Data'!F:F,A9,'Campaign Data'!M:M)</f>
        <v>24548</v>
      </c>
      <c r="I9" s="50">
        <f>SUMIF('Campaign Data'!F:F,A9,'Campaign Data'!N:N)</f>
        <v>3020200</v>
      </c>
      <c r="J9" s="29">
        <f t="shared" si="0"/>
        <v>3.4394715863796832</v>
      </c>
      <c r="K9" s="67">
        <f t="shared" si="1"/>
        <v>-0.19948049194232401</v>
      </c>
    </row>
    <row r="10" spans="1:11" ht="21.75" customHeight="1" x14ac:dyDescent="0.25">
      <c r="A10" s="65" t="s">
        <v>173</v>
      </c>
      <c r="B10" s="52" t="s">
        <v>172</v>
      </c>
      <c r="C10" s="52">
        <f>COUNTIF('Campaign Data'!F:F,A10)</f>
        <v>7</v>
      </c>
      <c r="D10" s="22">
        <f>SUMIF('Campaign Data'!F:F,A10,'Campaign Data'!I:I)</f>
        <v>1040200</v>
      </c>
      <c r="E10" s="22">
        <f>SUMIF('Campaign Data'!F:F,A10,'Campaign Data'!J:J)</f>
        <v>932300</v>
      </c>
      <c r="F10" s="54">
        <f>SUMIF('Campaign Data'!F:F,A10,'Campaign Data'!K:K)</f>
        <v>2330792</v>
      </c>
      <c r="G10" s="54">
        <f>SUMIF('Campaign Data'!F:F,A10,'Campaign Data'!L:L)</f>
        <v>340103</v>
      </c>
      <c r="H10" s="54">
        <f>SUMIF('Campaign Data'!F:F,A10,'Campaign Data'!M:M)</f>
        <v>21659</v>
      </c>
      <c r="I10" s="22">
        <f>SUMIF('Campaign Data'!F:F,A10,'Campaign Data'!N:N)</f>
        <v>3829200</v>
      </c>
      <c r="J10" s="27">
        <f t="shared" si="0"/>
        <v>4.107261611069398</v>
      </c>
      <c r="K10" s="68">
        <f t="shared" si="1"/>
        <v>0.26786305542679295</v>
      </c>
    </row>
    <row r="11" spans="1:11" ht="21.75" customHeight="1" x14ac:dyDescent="0.25">
      <c r="A11" s="66" t="s">
        <v>190</v>
      </c>
      <c r="B11" s="49" t="s">
        <v>172</v>
      </c>
      <c r="C11" s="49">
        <f>COUNTIF('Campaign Data'!F:F,A11)</f>
        <v>7</v>
      </c>
      <c r="D11" s="50">
        <f>SUMIF('Campaign Data'!F:F,A11,'Campaign Data'!I:I)</f>
        <v>853900</v>
      </c>
      <c r="E11" s="50">
        <f>SUMIF('Campaign Data'!F:F,A11,'Campaign Data'!J:J)</f>
        <v>745700</v>
      </c>
      <c r="F11" s="18">
        <f>SUMIF('Campaign Data'!F:F,A11,'Campaign Data'!K:K)</f>
        <v>2295351</v>
      </c>
      <c r="G11" s="18">
        <f>SUMIF('Campaign Data'!F:F,A11,'Campaign Data'!L:L)</f>
        <v>186125</v>
      </c>
      <c r="H11" s="18">
        <f>SUMIF('Campaign Data'!F:F,A11,'Campaign Data'!M:M)</f>
        <v>14560</v>
      </c>
      <c r="I11" s="50">
        <f>SUMIF('Campaign Data'!F:F,A11,'Campaign Data'!N:N)</f>
        <v>2555600</v>
      </c>
      <c r="J11" s="29">
        <f t="shared" si="0"/>
        <v>3.4271154619820301</v>
      </c>
      <c r="K11" s="67">
        <f t="shared" si="1"/>
        <v>-0.33260211010132662</v>
      </c>
    </row>
    <row r="12" spans="1:11" ht="21.75" customHeight="1" x14ac:dyDescent="0.25">
      <c r="A12" s="65" t="s">
        <v>207</v>
      </c>
      <c r="B12" s="52" t="s">
        <v>172</v>
      </c>
      <c r="C12" s="52">
        <f>COUNTIF('Campaign Data'!F:F,A12)</f>
        <v>8</v>
      </c>
      <c r="D12" s="22">
        <f>SUMIF('Campaign Data'!F:F,A12,'Campaign Data'!I:I)</f>
        <v>1380600</v>
      </c>
      <c r="E12" s="22">
        <f>SUMIF('Campaign Data'!F:F,A12,'Campaign Data'!J:J)</f>
        <v>1146900</v>
      </c>
      <c r="F12" s="54">
        <f>SUMIF('Campaign Data'!F:F,A12,'Campaign Data'!K:K)</f>
        <v>3473582</v>
      </c>
      <c r="G12" s="54">
        <f>SUMIF('Campaign Data'!F:F,A12,'Campaign Data'!L:L)</f>
        <v>183396</v>
      </c>
      <c r="H12" s="54">
        <f>SUMIF('Campaign Data'!F:F,A12,'Campaign Data'!M:M)</f>
        <v>8406</v>
      </c>
      <c r="I12" s="22">
        <f>SUMIF('Campaign Data'!F:F,A12,'Campaign Data'!N:N)</f>
        <v>4590300</v>
      </c>
      <c r="J12" s="27">
        <f t="shared" si="0"/>
        <v>4.0023541721161395</v>
      </c>
      <c r="K12" s="68">
        <f t="shared" si="1"/>
        <v>0.79617311003286895</v>
      </c>
    </row>
    <row r="13" spans="1:11" ht="21.75" customHeight="1" x14ac:dyDescent="0.25">
      <c r="A13" s="66" t="s">
        <v>227</v>
      </c>
      <c r="B13" s="49" t="s">
        <v>226</v>
      </c>
      <c r="C13" s="49">
        <f>COUNTIF('Campaign Data'!F:F,A13)</f>
        <v>6</v>
      </c>
      <c r="D13" s="50">
        <f>SUMIF('Campaign Data'!F:F,A13,'Campaign Data'!I:I)</f>
        <v>624100</v>
      </c>
      <c r="E13" s="50">
        <f>SUMIF('Campaign Data'!F:F,A13,'Campaign Data'!J:J)</f>
        <v>567600</v>
      </c>
      <c r="F13" s="18">
        <f>SUMIF('Campaign Data'!F:F,A13,'Campaign Data'!K:K)</f>
        <v>1804840</v>
      </c>
      <c r="G13" s="18">
        <f>SUMIF('Campaign Data'!F:F,A13,'Campaign Data'!L:L)</f>
        <v>109640</v>
      </c>
      <c r="H13" s="18">
        <f>SUMIF('Campaign Data'!F:F,A13,'Campaign Data'!M:M)</f>
        <v>5215</v>
      </c>
      <c r="I13" s="50">
        <f>SUMIF('Campaign Data'!F:F,A13,'Campaign Data'!N:N)</f>
        <v>1961300</v>
      </c>
      <c r="J13" s="29">
        <f t="shared" si="0"/>
        <v>3.4554263565891472</v>
      </c>
      <c r="K13" s="67">
        <f t="shared" si="1"/>
        <v>-0.57272945123412411</v>
      </c>
    </row>
    <row r="14" spans="1:11" ht="21.75" customHeight="1" x14ac:dyDescent="0.25">
      <c r="A14" s="65" t="s">
        <v>242</v>
      </c>
      <c r="B14" s="52" t="s">
        <v>226</v>
      </c>
      <c r="C14" s="52">
        <f>COUNTIF('Campaign Data'!F:F,A14)</f>
        <v>7</v>
      </c>
      <c r="D14" s="22">
        <f>SUMIF('Campaign Data'!F:F,A14,'Campaign Data'!I:I)</f>
        <v>867700</v>
      </c>
      <c r="E14" s="22">
        <f>SUMIF('Campaign Data'!F:F,A14,'Campaign Data'!J:J)</f>
        <v>684200</v>
      </c>
      <c r="F14" s="54">
        <f>SUMIF('Campaign Data'!F:F,A14,'Campaign Data'!K:K)</f>
        <v>2622643</v>
      </c>
      <c r="G14" s="54">
        <f>SUMIF('Campaign Data'!F:F,A14,'Campaign Data'!L:L)</f>
        <v>204382</v>
      </c>
      <c r="H14" s="54">
        <f>SUMIF('Campaign Data'!F:F,A14,'Campaign Data'!M:M)</f>
        <v>14583</v>
      </c>
      <c r="I14" s="22">
        <f>SUMIF('Campaign Data'!F:F,A14,'Campaign Data'!N:N)</f>
        <v>3220100</v>
      </c>
      <c r="J14" s="27">
        <f t="shared" si="0"/>
        <v>4.7063724057293186</v>
      </c>
      <c r="K14" s="68">
        <f t="shared" si="1"/>
        <v>0.64181920154999239</v>
      </c>
    </row>
    <row r="15" spans="1:11" ht="21.75" customHeight="1" x14ac:dyDescent="0.25">
      <c r="A15" s="66" t="s">
        <v>259</v>
      </c>
      <c r="B15" s="49" t="s">
        <v>226</v>
      </c>
      <c r="C15" s="49">
        <f>COUNTIF('Campaign Data'!F:F,A15)</f>
        <v>5</v>
      </c>
      <c r="D15" s="50">
        <f>SUMIF('Campaign Data'!F:F,A15,'Campaign Data'!I:I)</f>
        <v>623000</v>
      </c>
      <c r="E15" s="50">
        <f>SUMIF('Campaign Data'!F:F,A15,'Campaign Data'!J:J)</f>
        <v>574900</v>
      </c>
      <c r="F15" s="18">
        <f>SUMIF('Campaign Data'!F:F,A15,'Campaign Data'!K:K)</f>
        <v>1675418</v>
      </c>
      <c r="G15" s="18">
        <f>SUMIF('Campaign Data'!F:F,A15,'Campaign Data'!L:L)</f>
        <v>82832</v>
      </c>
      <c r="H15" s="18">
        <f>SUMIF('Campaign Data'!F:F,A15,'Campaign Data'!M:M)</f>
        <v>2604</v>
      </c>
      <c r="I15" s="50">
        <f>SUMIF('Campaign Data'!F:F,A15,'Campaign Data'!N:N)</f>
        <v>2167000</v>
      </c>
      <c r="J15" s="29">
        <f t="shared" si="0"/>
        <v>3.7693511915115674</v>
      </c>
      <c r="K15" s="67">
        <f t="shared" si="1"/>
        <v>-0.32703953293375981</v>
      </c>
    </row>
    <row r="16" spans="1:11" ht="25.5" customHeight="1" x14ac:dyDescent="0.25">
      <c r="A16" s="85" t="s">
        <v>285</v>
      </c>
      <c r="B16" s="85"/>
      <c r="C16" s="15">
        <f t="shared" ref="C16:I16" si="2">SUM(C4:C15)</f>
        <v>80</v>
      </c>
      <c r="D16" s="61">
        <f t="shared" si="2"/>
        <v>10799700</v>
      </c>
      <c r="E16" s="61">
        <f t="shared" si="2"/>
        <v>9560800</v>
      </c>
      <c r="F16" s="63">
        <f t="shared" si="2"/>
        <v>28449900</v>
      </c>
      <c r="G16" s="63">
        <f t="shared" si="2"/>
        <v>2459693</v>
      </c>
      <c r="H16" s="63">
        <f t="shared" si="2"/>
        <v>171099</v>
      </c>
      <c r="I16" s="61">
        <f t="shared" si="2"/>
        <v>37142600</v>
      </c>
      <c r="J16" s="64">
        <f>IFERROR(SUM(I4:I15)/SUM(E4:E15),0)</f>
        <v>3.8848841101163081</v>
      </c>
      <c r="K16" s="15" t="s">
        <v>286</v>
      </c>
    </row>
  </sheetData>
  <mergeCells count="2">
    <mergeCell ref="A1:K1"/>
    <mergeCell ref="A16:B16"/>
  </mergeCells>
  <conditionalFormatting sqref="K5:K15">
    <cfRule type="colorScale" priority="2">
      <colorScale>
        <cfvo type="min"/>
        <cfvo type="num" val="0"/>
        <cfvo type="max"/>
        <color rgb="FFF56565"/>
        <color rgb="FFFAF089"/>
        <color rgb="FF68D39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FA0"/>
  </sheetPr>
  <dimension ref="A1:J39"/>
  <sheetViews>
    <sheetView showGridLines="0" zoomScaleNormal="100" workbookViewId="0">
      <selection activeCell="J20" sqref="J20"/>
    </sheetView>
  </sheetViews>
  <sheetFormatPr defaultColWidth="8.7109375" defaultRowHeight="15" x14ac:dyDescent="0.25"/>
  <cols>
    <col min="1" max="1" width="22" customWidth="1"/>
    <col min="2" max="2" width="14" customWidth="1"/>
    <col min="3" max="3" width="16" customWidth="1"/>
    <col min="4" max="4" width="14" customWidth="1"/>
    <col min="5" max="5" width="13" customWidth="1"/>
    <col min="6" max="6" width="14" customWidth="1"/>
    <col min="7" max="7" width="18" customWidth="1"/>
    <col min="8" max="9" width="14" customWidth="1"/>
    <col min="10" max="10" width="12" customWidth="1"/>
  </cols>
  <sheetData>
    <row r="1" spans="1:10" ht="39.75" customHeight="1" x14ac:dyDescent="0.25">
      <c r="A1" s="84" t="s">
        <v>287</v>
      </c>
      <c r="B1" s="84"/>
      <c r="C1" s="84"/>
      <c r="D1" s="84"/>
      <c r="E1" s="84"/>
      <c r="F1" s="84"/>
      <c r="G1" s="84"/>
      <c r="H1" s="84"/>
      <c r="I1" s="84"/>
      <c r="J1" s="84"/>
    </row>
    <row r="3" spans="1:10" ht="24" customHeight="1" x14ac:dyDescent="0.25">
      <c r="A3" s="86" t="s">
        <v>288</v>
      </c>
      <c r="B3" s="86"/>
      <c r="C3" s="86"/>
      <c r="D3" s="86"/>
      <c r="E3" s="86"/>
      <c r="F3" s="86"/>
      <c r="G3" s="86"/>
      <c r="H3" s="86"/>
      <c r="I3" s="86"/>
      <c r="J3" s="86"/>
    </row>
    <row r="4" spans="1:10" ht="27.75" customHeight="1" x14ac:dyDescent="0.25">
      <c r="A4" s="47" t="s">
        <v>41</v>
      </c>
      <c r="B4" s="47" t="s">
        <v>273</v>
      </c>
      <c r="C4" s="47" t="s">
        <v>46</v>
      </c>
      <c r="D4" s="47" t="s">
        <v>47</v>
      </c>
      <c r="E4" s="47" t="s">
        <v>52</v>
      </c>
      <c r="F4" s="47" t="s">
        <v>50</v>
      </c>
      <c r="G4" s="47" t="s">
        <v>283</v>
      </c>
      <c r="H4" s="47" t="s">
        <v>56</v>
      </c>
      <c r="I4" s="47" t="s">
        <v>289</v>
      </c>
      <c r="J4" s="47" t="s">
        <v>290</v>
      </c>
    </row>
    <row r="5" spans="1:10" ht="21.75" customHeight="1" x14ac:dyDescent="0.25">
      <c r="A5" s="48" t="s">
        <v>69</v>
      </c>
      <c r="B5" s="49">
        <f>COUNTIF('Campaign Data'!D:D,A5)</f>
        <v>19</v>
      </c>
      <c r="C5" s="50">
        <f>SUMIF('Campaign Data'!D:D,A5,'Campaign Data'!I:I)</f>
        <v>2598200</v>
      </c>
      <c r="D5" s="50">
        <f>SUMIF('Campaign Data'!D:D,A5,'Campaign Data'!J:J)</f>
        <v>2340100</v>
      </c>
      <c r="E5" s="18">
        <f>SUMIF('Campaign Data'!D:D,A5,'Campaign Data'!O:O)</f>
        <v>92616</v>
      </c>
      <c r="F5" s="18">
        <f>SUMIF('Campaign Data'!D:D,A5,'Campaign Data'!M:M)</f>
        <v>59052</v>
      </c>
      <c r="G5" s="50">
        <f>SUMIF('Campaign Data'!D:D,A5,'Campaign Data'!N:N)</f>
        <v>9161900</v>
      </c>
      <c r="H5" s="29">
        <f>IFERROR(G5/D5,0)</f>
        <v>3.9151745651895218</v>
      </c>
      <c r="I5" s="33">
        <f>IFERROR(D5/E5,0)</f>
        <v>25.266692580115748</v>
      </c>
      <c r="J5" s="33">
        <f>IFERROR(D5/F5,0)</f>
        <v>39.627785680417261</v>
      </c>
    </row>
    <row r="6" spans="1:10" ht="21.75" customHeight="1" x14ac:dyDescent="0.25">
      <c r="A6" s="56" t="s">
        <v>83</v>
      </c>
      <c r="B6" s="52">
        <f>COUNTIF('Campaign Data'!D:D,A6)</f>
        <v>14</v>
      </c>
      <c r="C6" s="22">
        <f>SUMIF('Campaign Data'!D:D,A6,'Campaign Data'!I:I)</f>
        <v>2544400</v>
      </c>
      <c r="D6" s="22">
        <f>SUMIF('Campaign Data'!D:D,A6,'Campaign Data'!J:J)</f>
        <v>2265600</v>
      </c>
      <c r="E6" s="54">
        <f>SUMIF('Campaign Data'!D:D,A6,'Campaign Data'!O:O)</f>
        <v>32983</v>
      </c>
      <c r="F6" s="54">
        <f>SUMIF('Campaign Data'!D:D,A6,'Campaign Data'!M:M)</f>
        <v>13196</v>
      </c>
      <c r="G6" s="22">
        <f>SUMIF('Campaign Data'!D:D,A6,'Campaign Data'!N:N)</f>
        <v>8821600</v>
      </c>
      <c r="H6" s="27">
        <f>IFERROR(G6/D6,0)</f>
        <v>3.8937146892655368</v>
      </c>
      <c r="I6" s="31">
        <f>IFERROR(D6/E6,0)</f>
        <v>68.689931176666761</v>
      </c>
      <c r="J6" s="31">
        <f>IFERROR(D6/F6,0)</f>
        <v>171.68839042133979</v>
      </c>
    </row>
    <row r="7" spans="1:10" ht="21.75" customHeight="1" x14ac:dyDescent="0.25">
      <c r="A7" s="55" t="s">
        <v>50</v>
      </c>
      <c r="B7" s="49">
        <f>COUNTIF('Campaign Data'!D:D,A7)</f>
        <v>14</v>
      </c>
      <c r="C7" s="50">
        <f>SUMIF('Campaign Data'!D:D,A7,'Campaign Data'!I:I)</f>
        <v>1348600</v>
      </c>
      <c r="D7" s="50">
        <f>SUMIF('Campaign Data'!D:D,A7,'Campaign Data'!J:J)</f>
        <v>1196300</v>
      </c>
      <c r="E7" s="18">
        <f>SUMIF('Campaign Data'!D:D,A7,'Campaign Data'!O:O)</f>
        <v>77953</v>
      </c>
      <c r="F7" s="18">
        <f>SUMIF('Campaign Data'!D:D,A7,'Campaign Data'!M:M)</f>
        <v>40090</v>
      </c>
      <c r="G7" s="50">
        <f>SUMIF('Campaign Data'!D:D,A7,'Campaign Data'!N:N)</f>
        <v>5259000</v>
      </c>
      <c r="H7" s="29">
        <f>IFERROR(G7/D7,0)</f>
        <v>4.3960545013792531</v>
      </c>
      <c r="I7" s="33">
        <f>IFERROR(D7/E7,0)</f>
        <v>15.346426693007325</v>
      </c>
      <c r="J7" s="33">
        <f>IFERROR(D7/F7,0)</f>
        <v>29.840359191818408</v>
      </c>
    </row>
    <row r="8" spans="1:10" ht="21.75" customHeight="1" x14ac:dyDescent="0.25">
      <c r="A8" s="69" t="s">
        <v>76</v>
      </c>
      <c r="B8" s="52">
        <f>COUNTIF('Campaign Data'!D:D,A8)</f>
        <v>18</v>
      </c>
      <c r="C8" s="22">
        <f>SUMIF('Campaign Data'!D:D,A8,'Campaign Data'!I:I)</f>
        <v>2288500</v>
      </c>
      <c r="D8" s="22">
        <f>SUMIF('Campaign Data'!D:D,A8,'Campaign Data'!J:J)</f>
        <v>2012800</v>
      </c>
      <c r="E8" s="54">
        <f>SUMIF('Campaign Data'!D:D,A8,'Campaign Data'!O:O)</f>
        <v>62450</v>
      </c>
      <c r="F8" s="54">
        <f>SUMIF('Campaign Data'!D:D,A8,'Campaign Data'!M:M)</f>
        <v>28237</v>
      </c>
      <c r="G8" s="22">
        <f>SUMIF('Campaign Data'!D:D,A8,'Campaign Data'!N:N)</f>
        <v>6893500</v>
      </c>
      <c r="H8" s="27">
        <f>IFERROR(G8/D8,0)</f>
        <v>3.4248310810810811</v>
      </c>
      <c r="I8" s="31">
        <f>IFERROR(D8/E8,0)</f>
        <v>32.230584467574062</v>
      </c>
      <c r="J8" s="31">
        <f>IFERROR(D8/F8,0)</f>
        <v>71.282360024081882</v>
      </c>
    </row>
    <row r="9" spans="1:10" ht="21.75" customHeight="1" x14ac:dyDescent="0.25">
      <c r="A9" s="70" t="s">
        <v>60</v>
      </c>
      <c r="B9" s="49">
        <f>COUNTIF('Campaign Data'!D:D,A9)</f>
        <v>15</v>
      </c>
      <c r="C9" s="50">
        <f>SUMIF('Campaign Data'!D:D,A9,'Campaign Data'!I:I)</f>
        <v>2020000</v>
      </c>
      <c r="D9" s="50">
        <f>SUMIF('Campaign Data'!D:D,A9,'Campaign Data'!J:J)</f>
        <v>1746000</v>
      </c>
      <c r="E9" s="18">
        <f>SUMIF('Campaign Data'!D:D,A9,'Campaign Data'!O:O)</f>
        <v>69258</v>
      </c>
      <c r="F9" s="18">
        <f>SUMIF('Campaign Data'!D:D,A9,'Campaign Data'!M:M)</f>
        <v>30524</v>
      </c>
      <c r="G9" s="50">
        <f>SUMIF('Campaign Data'!D:D,A9,'Campaign Data'!N:N)</f>
        <v>7006600</v>
      </c>
      <c r="H9" s="29">
        <f>IFERROR(G9/D9,0)</f>
        <v>4.0129438717067583</v>
      </c>
      <c r="I9" s="33">
        <f>IFERROR(D9/E9,0)</f>
        <v>25.210084033613445</v>
      </c>
      <c r="J9" s="33">
        <f>IFERROR(D9/F9,0)</f>
        <v>57.200891102083609</v>
      </c>
    </row>
    <row r="10" spans="1:10" ht="25.5" customHeight="1" x14ac:dyDescent="0.25">
      <c r="A10" s="15" t="s">
        <v>291</v>
      </c>
      <c r="B10" s="15">
        <f t="shared" ref="B10:G10" si="0">SUM(B5:B9)</f>
        <v>80</v>
      </c>
      <c r="C10" s="61">
        <f t="shared" si="0"/>
        <v>10799700</v>
      </c>
      <c r="D10" s="61">
        <f t="shared" si="0"/>
        <v>9560800</v>
      </c>
      <c r="E10" s="63">
        <f t="shared" si="0"/>
        <v>335260</v>
      </c>
      <c r="F10" s="63">
        <f t="shared" si="0"/>
        <v>171099</v>
      </c>
      <c r="G10" s="61">
        <f t="shared" si="0"/>
        <v>37142600</v>
      </c>
      <c r="H10" s="64">
        <f>IFERROR(SUM(G5:G9)/SUM(D5:D9),0)</f>
        <v>3.8848841101163081</v>
      </c>
      <c r="I10" s="71">
        <f>IFERROR(SUM(D5:D9)/SUM(E5:E9),0)</f>
        <v>28.517568454333951</v>
      </c>
      <c r="J10" s="71">
        <f>IFERROR(SUM(D5:D9)/SUM(F5:F9),0)</f>
        <v>55.878760249913796</v>
      </c>
    </row>
    <row r="30" spans="1:10" ht="24" customHeight="1" x14ac:dyDescent="0.25">
      <c r="A30" s="87" t="s">
        <v>292</v>
      </c>
      <c r="B30" s="87"/>
      <c r="C30" s="87"/>
      <c r="D30" s="87"/>
      <c r="E30" s="87"/>
      <c r="F30" s="87"/>
      <c r="G30" s="87"/>
      <c r="H30" s="87"/>
      <c r="I30" s="87"/>
      <c r="J30" s="87"/>
    </row>
    <row r="31" spans="1:10" ht="27.75" customHeight="1" x14ac:dyDescent="0.25">
      <c r="A31" s="47" t="s">
        <v>40</v>
      </c>
      <c r="B31" s="47" t="s">
        <v>48</v>
      </c>
      <c r="C31" s="47" t="s">
        <v>49</v>
      </c>
      <c r="D31" s="47" t="s">
        <v>52</v>
      </c>
      <c r="E31" s="47" t="s">
        <v>50</v>
      </c>
      <c r="F31" s="47" t="s">
        <v>293</v>
      </c>
      <c r="G31" s="47" t="s">
        <v>294</v>
      </c>
      <c r="H31" s="47" t="s">
        <v>295</v>
      </c>
      <c r="I31" s="47" t="s">
        <v>296</v>
      </c>
    </row>
    <row r="32" spans="1:10" ht="21.75" customHeight="1" x14ac:dyDescent="0.25">
      <c r="A32" s="20" t="s">
        <v>91</v>
      </c>
      <c r="B32" s="52">
        <f>SUMIF('Campaign Data'!C:C,A32,'Campaign Data'!K:K)</f>
        <v>3155081</v>
      </c>
      <c r="C32" s="54">
        <f>SUMIF('Campaign Data'!C:C,A32,'Campaign Data'!L:L)</f>
        <v>192765</v>
      </c>
      <c r="D32" s="54">
        <f>SUMIF('Campaign Data'!C:C,A32,'Campaign Data'!O:O)</f>
        <v>16173</v>
      </c>
      <c r="E32" s="54">
        <f>SUMIF('Campaign Data'!C:C,A32,'Campaign Data'!M:M)</f>
        <v>7767</v>
      </c>
      <c r="F32" s="27">
        <f t="shared" ref="F32:H39" si="1">IFERROR(C32/B32*100,0)</f>
        <v>6.1096688167435316</v>
      </c>
      <c r="G32" s="27">
        <f t="shared" si="1"/>
        <v>8.3900085596451639</v>
      </c>
      <c r="H32" s="27">
        <f t="shared" si="1"/>
        <v>48.024485253199778</v>
      </c>
      <c r="I32" s="27">
        <f t="shared" ref="I32:I39" si="2">IFERROR(E32/B32*100,0)</f>
        <v>0.24617434544469699</v>
      </c>
    </row>
    <row r="33" spans="1:9" ht="21.75" customHeight="1" x14ac:dyDescent="0.25">
      <c r="A33" s="16" t="s">
        <v>82</v>
      </c>
      <c r="B33" s="49">
        <f>SUMIF('Campaign Data'!C:C,A33,'Campaign Data'!K:K)</f>
        <v>4570826</v>
      </c>
      <c r="C33" s="18">
        <f>SUMIF('Campaign Data'!C:C,A33,'Campaign Data'!L:L)</f>
        <v>132238</v>
      </c>
      <c r="D33" s="18">
        <f>SUMIF('Campaign Data'!C:C,A33,'Campaign Data'!O:O)</f>
        <v>7968</v>
      </c>
      <c r="E33" s="18">
        <f>SUMIF('Campaign Data'!C:C,A33,'Campaign Data'!M:M)</f>
        <v>3272</v>
      </c>
      <c r="F33" s="29">
        <f t="shared" si="1"/>
        <v>2.8930875951086303</v>
      </c>
      <c r="G33" s="29">
        <f t="shared" si="1"/>
        <v>6.0254994782135238</v>
      </c>
      <c r="H33" s="29">
        <f t="shared" si="1"/>
        <v>41.064257028112451</v>
      </c>
      <c r="I33" s="29">
        <f t="shared" si="2"/>
        <v>7.1584435723433787E-2</v>
      </c>
    </row>
    <row r="34" spans="1:9" ht="21.75" customHeight="1" x14ac:dyDescent="0.25">
      <c r="A34" s="20" t="s">
        <v>72</v>
      </c>
      <c r="B34" s="52">
        <f>SUMIF('Campaign Data'!C:C,A34,'Campaign Data'!K:K)</f>
        <v>2203111</v>
      </c>
      <c r="C34" s="54">
        <f>SUMIF('Campaign Data'!C:C,A34,'Campaign Data'!L:L)</f>
        <v>548181</v>
      </c>
      <c r="D34" s="54">
        <f>SUMIF('Campaign Data'!C:C,A34,'Campaign Data'!O:O)</f>
        <v>125329</v>
      </c>
      <c r="E34" s="54">
        <f>SUMIF('Campaign Data'!C:C,A34,'Campaign Data'!M:M)</f>
        <v>68518</v>
      </c>
      <c r="F34" s="27">
        <f t="shared" si="1"/>
        <v>24.882132584331885</v>
      </c>
      <c r="G34" s="27">
        <f t="shared" si="1"/>
        <v>22.862704106855215</v>
      </c>
      <c r="H34" s="27">
        <f t="shared" si="1"/>
        <v>54.670507224983844</v>
      </c>
      <c r="I34" s="27">
        <f t="shared" si="2"/>
        <v>3.1100566426294454</v>
      </c>
    </row>
    <row r="35" spans="1:9" ht="21.75" customHeight="1" x14ac:dyDescent="0.25">
      <c r="A35" s="16" t="s">
        <v>68</v>
      </c>
      <c r="B35" s="49">
        <f>SUMIF('Campaign Data'!C:C,A35,'Campaign Data'!K:K)</f>
        <v>3964631</v>
      </c>
      <c r="C35" s="18">
        <f>SUMIF('Campaign Data'!C:C,A35,'Campaign Data'!L:L)</f>
        <v>173857</v>
      </c>
      <c r="D35" s="18">
        <f>SUMIF('Campaign Data'!C:C,A35,'Campaign Data'!O:O)</f>
        <v>15833</v>
      </c>
      <c r="E35" s="18">
        <f>SUMIF('Campaign Data'!C:C,A35,'Campaign Data'!M:M)</f>
        <v>6126</v>
      </c>
      <c r="F35" s="29">
        <f t="shared" si="1"/>
        <v>4.3852000350095635</v>
      </c>
      <c r="G35" s="29">
        <f t="shared" si="1"/>
        <v>9.1069097016513574</v>
      </c>
      <c r="H35" s="29">
        <f t="shared" si="1"/>
        <v>38.691340870334109</v>
      </c>
      <c r="I35" s="29">
        <f t="shared" si="2"/>
        <v>0.15451627150168579</v>
      </c>
    </row>
    <row r="36" spans="1:9" ht="21.75" customHeight="1" x14ac:dyDescent="0.25">
      <c r="A36" s="20" t="s">
        <v>75</v>
      </c>
      <c r="B36" s="52">
        <f>SUMIF('Campaign Data'!C:C,A36,'Campaign Data'!K:K)</f>
        <v>3971303</v>
      </c>
      <c r="C36" s="54">
        <f>SUMIF('Campaign Data'!C:C,A36,'Campaign Data'!L:L)</f>
        <v>39051</v>
      </c>
      <c r="D36" s="54">
        <f>SUMIF('Campaign Data'!C:C,A36,'Campaign Data'!O:O)</f>
        <v>1136</v>
      </c>
      <c r="E36" s="54">
        <f>SUMIF('Campaign Data'!C:C,A36,'Campaign Data'!M:M)</f>
        <v>545</v>
      </c>
      <c r="F36" s="27">
        <f t="shared" si="1"/>
        <v>0.98332965276132289</v>
      </c>
      <c r="G36" s="27">
        <f t="shared" si="1"/>
        <v>2.9090164144324091</v>
      </c>
      <c r="H36" s="27">
        <f t="shared" si="1"/>
        <v>47.975352112676056</v>
      </c>
      <c r="I36" s="27">
        <f t="shared" si="2"/>
        <v>1.3723455500625363E-2</v>
      </c>
    </row>
    <row r="37" spans="1:9" ht="21.75" customHeight="1" x14ac:dyDescent="0.25">
      <c r="A37" s="16" t="s">
        <v>79</v>
      </c>
      <c r="B37" s="49">
        <f>SUMIF('Campaign Data'!C:C,A37,'Campaign Data'!K:K)</f>
        <v>3474949</v>
      </c>
      <c r="C37" s="18">
        <f>SUMIF('Campaign Data'!C:C,A37,'Campaign Data'!L:L)</f>
        <v>34813</v>
      </c>
      <c r="D37" s="18">
        <f>SUMIF('Campaign Data'!C:C,A37,'Campaign Data'!O:O)</f>
        <v>1653</v>
      </c>
      <c r="E37" s="18">
        <f>SUMIF('Campaign Data'!C:C,A37,'Campaign Data'!M:M)</f>
        <v>673</v>
      </c>
      <c r="F37" s="29">
        <f t="shared" si="1"/>
        <v>1.0018276527223853</v>
      </c>
      <c r="G37" s="29">
        <f t="shared" si="1"/>
        <v>4.7482262373251372</v>
      </c>
      <c r="H37" s="29">
        <f t="shared" si="1"/>
        <v>40.713853599516028</v>
      </c>
      <c r="I37" s="29">
        <f t="shared" si="2"/>
        <v>1.9367190712727009E-2</v>
      </c>
    </row>
    <row r="38" spans="1:9" ht="21.75" customHeight="1" x14ac:dyDescent="0.25">
      <c r="A38" s="20" t="s">
        <v>98</v>
      </c>
      <c r="B38" s="52">
        <f>SUMIF('Campaign Data'!C:C,A38,'Campaign Data'!K:K)</f>
        <v>3123817</v>
      </c>
      <c r="C38" s="54">
        <f>SUMIF('Campaign Data'!C:C,A38,'Campaign Data'!L:L)</f>
        <v>57471</v>
      </c>
      <c r="D38" s="54">
        <f>SUMIF('Campaign Data'!C:C,A38,'Campaign Data'!O:O)</f>
        <v>1636</v>
      </c>
      <c r="E38" s="54">
        <f>SUMIF('Campaign Data'!C:C,A38,'Campaign Data'!M:M)</f>
        <v>720</v>
      </c>
      <c r="F38" s="27">
        <f t="shared" si="1"/>
        <v>1.8397684627492583</v>
      </c>
      <c r="G38" s="27">
        <f t="shared" si="1"/>
        <v>2.8466530946042354</v>
      </c>
      <c r="H38" s="27">
        <f t="shared" si="1"/>
        <v>44.009779951100242</v>
      </c>
      <c r="I38" s="27">
        <f t="shared" si="2"/>
        <v>2.3048725325459204E-2</v>
      </c>
    </row>
    <row r="39" spans="1:9" ht="21.75" customHeight="1" x14ac:dyDescent="0.25">
      <c r="A39" s="16" t="s">
        <v>59</v>
      </c>
      <c r="B39" s="49">
        <f>SUMIF('Campaign Data'!C:C,A39,'Campaign Data'!K:K)</f>
        <v>3986182</v>
      </c>
      <c r="C39" s="18">
        <f>SUMIF('Campaign Data'!C:C,A39,'Campaign Data'!L:L)</f>
        <v>1281317</v>
      </c>
      <c r="D39" s="18">
        <f>SUMIF('Campaign Data'!C:C,A39,'Campaign Data'!O:O)</f>
        <v>165532</v>
      </c>
      <c r="E39" s="18">
        <f>SUMIF('Campaign Data'!C:C,A39,'Campaign Data'!M:M)</f>
        <v>83478</v>
      </c>
      <c r="F39" s="29">
        <f t="shared" si="1"/>
        <v>32.14396633169283</v>
      </c>
      <c r="G39" s="29">
        <f t="shared" si="1"/>
        <v>12.918895168018532</v>
      </c>
      <c r="H39" s="29">
        <f t="shared" si="1"/>
        <v>50.430128313558711</v>
      </c>
      <c r="I39" s="29">
        <f t="shared" si="2"/>
        <v>2.0941843598711749</v>
      </c>
    </row>
  </sheetData>
  <mergeCells count="3">
    <mergeCell ref="A1:J1"/>
    <mergeCell ref="A3:J3"/>
    <mergeCell ref="A30:J30"/>
  </mergeCells>
  <conditionalFormatting sqref="F32:I39">
    <cfRule type="colorScale" priority="3">
      <colorScale>
        <cfvo type="min"/>
        <cfvo type="max"/>
        <color rgb="FFFED7D7"/>
        <color rgb="FFC6F6D5"/>
      </colorScale>
    </cfRule>
  </conditionalFormatting>
  <conditionalFormatting sqref="H5:H9">
    <cfRule type="colorScale" priority="2">
      <colorScale>
        <cfvo type="min"/>
        <cfvo type="max"/>
        <color rgb="FFF56565"/>
        <color rgb="FF68D39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Dashboard</vt:lpstr>
      <vt:lpstr>Campaign Data</vt:lpstr>
      <vt:lpstr>Channel Performance</vt:lpstr>
      <vt:lpstr>Monthly Trends</vt:lpstr>
      <vt:lpstr>Objective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Mehool Chakravarti</cp:lastModifiedBy>
  <cp:revision>1</cp:revision>
  <dcterms:created xsi:type="dcterms:W3CDTF">2026-06-02T05:58:18Z</dcterms:created>
  <dcterms:modified xsi:type="dcterms:W3CDTF">2026-06-04T06:50:50Z</dcterms:modified>
  <dc:language>en-US</dc:language>
</cp:coreProperties>
</file>